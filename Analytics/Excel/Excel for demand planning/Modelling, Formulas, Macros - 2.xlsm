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hisWorkbook" hidePivotFieldList="1"/>
  <xr:revisionPtr revIDLastSave="0" documentId="13_ncr:1_{BD1A14B6-3FBF-4F5E-8C6F-A03B9BF1048A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Макрос_А" sheetId="2" r:id="rId1"/>
    <sheet name="Макрос_В" sheetId="3" r:id="rId2"/>
    <sheet name="Формула" sheetId="5" r:id="rId3"/>
    <sheet name="Планирование" sheetId="4" r:id="rId4"/>
  </sheets>
  <externalReferences>
    <externalReference r:id="rId5"/>
  </externalReferences>
  <definedNames>
    <definedName name="__FDS_HYPERLINK_TOGGLE_STATE__" hidden="1">"ON"</definedName>
    <definedName name="__IntlFixup" hidden="1">TRUE</definedName>
    <definedName name="_xlnm._FilterDatabase" localSheetId="2" hidden="1">Формула!$A$41:$L$241</definedName>
    <definedName name="_Order1" hidden="1">0</definedName>
    <definedName name="_uu1" localSheetId="2" hidden="1">{#N/A,#N/A,TRUE,"Engineering Dept";#N/A,#N/A,TRUE,"Sales Dept";#N/A,#N/A,TRUE,"Marketing Dept";#N/A,#N/A,TRUE,"Admin Dept"}</definedName>
    <definedName name="_uu1" hidden="1">{#N/A,#N/A,TRUE,"Engineering Dept";#N/A,#N/A,TRUE,"Sales Dept";#N/A,#N/A,TRUE,"Marketing Dept";#N/A,#N/A,TRUE,"Admin Dept"}</definedName>
    <definedName name="a" hidden="1">#REF!</definedName>
    <definedName name="anscount" hidden="1">1</definedName>
    <definedName name="AS2DocOpenMode" hidden="1">"AS2DocumentEdit"</definedName>
    <definedName name="b" hidden="1">#REF!</definedName>
    <definedName name="HTML_CodePage" hidden="1">1252</definedName>
    <definedName name="HTML_Description" hidden="1">""</definedName>
    <definedName name="HTML_Email" hidden="1">""</definedName>
    <definedName name="HTML_Header" hidden="1">"Cost of Capital"</definedName>
    <definedName name="HTML_LastUpdate" hidden="1">"9/11/00"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HD:Web Site “~adamodar”:pc:datasets:MyHTML.html"</definedName>
    <definedName name="HTML_Title" hidden="1">"wacc"</definedName>
    <definedName name="PUB_FileID" hidden="1">"L10003363.xls"</definedName>
    <definedName name="PUB_UserID" hidden="1">"MAYERX"</definedName>
    <definedName name="sencount" hidden="1">1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Планирование!#REF!</definedName>
    <definedName name="solver_lhs2" localSheetId="3" hidden="1">Планирование!#REF!</definedName>
    <definedName name="solver_lhs3" localSheetId="3" hidden="1">Планирование!#REF!</definedName>
    <definedName name="solver_lhs4" localSheetId="3" hidden="1">Планирование!#REF!</definedName>
    <definedName name="solver_lhs5" localSheetId="3" hidden="1">Планирование!#REF!</definedName>
    <definedName name="solver_lhs6" localSheetId="3" hidden="1">Планирование!#REF!</definedName>
    <definedName name="solver_lhs7" localSheetId="3" hidden="1">Планирование!$B$132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1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2</definedName>
    <definedName name="solver_rhs1" localSheetId="3" hidden="1">1</definedName>
    <definedName name="solver_rhs2" localSheetId="3" hidden="1">0</definedName>
    <definedName name="solver_rhs3" localSheetId="3" hidden="1">1</definedName>
    <definedName name="solver_rhs4" localSheetId="3" hidden="1">0</definedName>
    <definedName name="solver_rhs5" localSheetId="3" hidden="1">1</definedName>
    <definedName name="solver_rhs6" localSheetId="3" hidden="1">0</definedName>
    <definedName name="solver_rhs7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  <definedName name="TextRefCopyRangeCount" hidden="1">42</definedName>
    <definedName name="uu" localSheetId="2" hidden="1">{#N/A,#N/A,TRUE,"Engineering Dept";#N/A,#N/A,TRUE,"Sales Dept";#N/A,#N/A,TRUE,"Marketing Dept";#N/A,#N/A,TRUE,"Admin Dept"}</definedName>
    <definedName name="uu" hidden="1">{#N/A,#N/A,TRUE,"Engineering Dept";#N/A,#N/A,TRUE,"Sales Dept";#N/A,#N/A,TRUE,"Marketing Dept";#N/A,#N/A,TRUE,"Admin Dept"}</definedName>
    <definedName name="wrn.Departmentals." localSheetId="2" hidden="1">{#N/A,#N/A,TRUE,"Engineering Dept";#N/A,#N/A,TRUE,"Sales Dept";#N/A,#N/A,TRUE,"Marketing Dept";#N/A,#N/A,TRUE,"Admin Dept"}</definedName>
    <definedName name="wrn.Departmentals." hidden="1">{#N/A,#N/A,TRUE,"Engineering Dept";#N/A,#N/A,TRUE,"Sales Dept";#N/A,#N/A,TRUE,"Marketing Dept";#N/A,#N/A,TRUE,"Admin Dept"}</definedName>
    <definedName name="wrn.Departments." localSheetId="2" hidden="1">{#N/A,#N/A,FALSE,"Engineering Dept";#N/A,#N/A,FALSE,"Sales Dept";#N/A,#N/A,FALSE,"Marketing Dept";#N/A,#N/A,FALSE,"Admin Dept";#N/A,#N/A,FALSE,"Total Operating Expenses"}</definedName>
    <definedName name="wrn.Departments." hidden="1">{#N/A,#N/A,FALSE,"Engineering Dept";#N/A,#N/A,FALSE,"Sales Dept";#N/A,#N/A,FALSE,"Marketing Dept";#N/A,#N/A,FALSE,"Admin Dept";#N/A,#N/A,FALSE,"Total Operating Expenses"}</definedName>
    <definedName name="wrn.Financials." localSheetId="2" hidden="1">{#N/A,#N/A,TRUE,"Balance Sheet";#N/A,#N/A,TRUE,"Income Statement";#N/A,#N/A,TRUE,"Statement of Cash Flows";#N/A,#N/A,TRUE,"Key Indicators"}</definedName>
    <definedName name="wrn.Financials." hidden="1">{#N/A,#N/A,TRUE,"Balance Sheet";#N/A,#N/A,TRUE,"Income Statement";#N/A,#N/A,TRUE,"Statement of Cash Flows";#N/A,#N/A,TRUE,"Key Indicators"}</definedName>
    <definedName name="Z_2185FC51_7502_43A8_900A_0000B7F738F9_.wvu.Rows" hidden="1">[1]Forecast!$A$26:$IV$29,[1]Forecast!$A$35:$IV$36,[1]Forecast!$A$52:$IV$52,[1]Forecast!$A$56:$IV$60,[1]Forecast!$A$93:$IV$95,[1]Forecast!$A$106:$IV$114,[1]Forecast!$A$119:$IV$120,[1]Forecast!$A$123:$IV$124,[1]Forecast!$A$189:$IV$189,[1]Forecast!$A$254:$IV$254,[1]Forecast!$A$258:$IV$267,[1]Forecast!$A$270:$IV$271,[1]Forecast!$A$273:$IV$313,[1]Forecast!$A$317:$IV$318,[1]Forecast!$A$322:$IV$327,[1]Forecast!$A$339:$IV$339</definedName>
    <definedName name="Z_99D15F62_90C4_405A_985F_7C185F19F985_.wvu.Rows" hidden="1">[1]Forecast!$A$26:$IV$29,[1]Forecast!$A$35:$IV$36,[1]Forecast!$A$52:$IV$52,[1]Forecast!$A$56:$IV$60,[1]Forecast!$A$93:$IV$95,[1]Forecast!$A$106:$IV$114,[1]Forecast!$A$119:$IV$120,[1]Forecast!$A$123:$IV$124,[1]Forecast!$A$189:$IV$189,[1]Forecast!$A$254:$IV$254,[1]Forecast!$A$258:$IV$267,[1]Forecast!$A$270:$IV$271,[1]Forecast!$A$273:$IV$313,[1]Forecast!$A$317:$IV$318,[1]Forecast!$A$322:$IV$327,[1]Forecast!$A$339:$IV$339</definedName>
    <definedName name="гг" localSheetId="2" hidden="1">{#N/A,#N/A,TRUE,"Balance Sheet";#N/A,#N/A,TRUE,"Income Statement";#N/A,#N/A,TRUE,"Statement of Cash Flows";#N/A,#N/A,TRUE,"Key Indicators"}</definedName>
    <definedName name="гг" hidden="1">{#N/A,#N/A,TRUE,"Balance Sheet";#N/A,#N/A,TRUE,"Income Statement";#N/A,#N/A,TRUE,"Statement of Cash Flows";#N/A,#N/A,TRUE,"Key Indicators"}</definedName>
    <definedName name="ее" localSheetId="2" hidden="1">{#N/A,#N/A,TRUE,"Engineering Dept";#N/A,#N/A,TRUE,"Sales Dept";#N/A,#N/A,TRUE,"Marketing Dept";#N/A,#N/A,TRUE,"Admin Dept"}</definedName>
    <definedName name="ее" hidden="1">{#N/A,#N/A,TRUE,"Engineering Dept";#N/A,#N/A,TRUE,"Sales Dept";#N/A,#N/A,TRUE,"Marketing Dept";#N/A,#N/A,TRUE,"Admin Dept"}</definedName>
    <definedName name="кк" localSheetId="2" hidden="1">{#N/A,#N/A,TRUE,"Engineering Dept";#N/A,#N/A,TRUE,"Sales Dept";#N/A,#N/A,TRUE,"Marketing Dept";#N/A,#N/A,TRUE,"Admin Dept"}</definedName>
    <definedName name="кк" hidden="1">{#N/A,#N/A,TRUE,"Engineering Dept";#N/A,#N/A,TRUE,"Sales Dept";#N/A,#N/A,TRUE,"Marketing Dept";#N/A,#N/A,TRUE,"Admin Dept"}</definedName>
    <definedName name="нн" localSheetId="2" hidden="1">{#N/A,#N/A,FALSE,"Engineering Dept";#N/A,#N/A,FALSE,"Sales Dept";#N/A,#N/A,FALSE,"Marketing Dept";#N/A,#N/A,FALSE,"Admin Dept";#N/A,#N/A,FALSE,"Total Operating Expenses"}</definedName>
    <definedName name="нн" hidden="1">{#N/A,#N/A,FALSE,"Engineering Dept";#N/A,#N/A,FALSE,"Sales Dept";#N/A,#N/A,FALSE,"Marketing Dept";#N/A,#N/A,FALSE,"Admin Dept";#N/A,#N/A,FALSE,"Total Operating Expenses"}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24" i="5" l="1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F37" i="5"/>
  <c r="F36" i="5"/>
  <c r="F35" i="5"/>
  <c r="F34" i="5"/>
  <c r="F33" i="5"/>
  <c r="F32" i="5"/>
  <c r="F31" i="5"/>
  <c r="F30" i="5"/>
  <c r="F29" i="5"/>
  <c r="F28" i="5"/>
  <c r="F27" i="5"/>
  <c r="F26" i="5"/>
  <c r="F25" i="5"/>
  <c r="F24" i="5"/>
  <c r="I23" i="5"/>
  <c r="F23" i="5" l="1"/>
  <c r="C24" i="5"/>
  <c r="D24" i="5"/>
  <c r="E24" i="5"/>
  <c r="C25" i="5"/>
  <c r="D25" i="5"/>
  <c r="E25" i="5"/>
  <c r="C26" i="5"/>
  <c r="D26" i="5"/>
  <c r="E26" i="5"/>
  <c r="C27" i="5"/>
  <c r="D27" i="5"/>
  <c r="E27" i="5"/>
  <c r="C28" i="5"/>
  <c r="D28" i="5"/>
  <c r="E28" i="5"/>
  <c r="C29" i="5"/>
  <c r="D29" i="5"/>
  <c r="E29" i="5"/>
  <c r="C30" i="5"/>
  <c r="D30" i="5"/>
  <c r="E30" i="5"/>
  <c r="C31" i="5"/>
  <c r="D31" i="5"/>
  <c r="E31" i="5"/>
  <c r="C32" i="5"/>
  <c r="D32" i="5"/>
  <c r="E32" i="5"/>
  <c r="C33" i="5"/>
  <c r="D33" i="5"/>
  <c r="E33" i="5"/>
  <c r="C34" i="5"/>
  <c r="D34" i="5"/>
  <c r="E34" i="5"/>
  <c r="C35" i="5"/>
  <c r="D35" i="5"/>
  <c r="E35" i="5"/>
  <c r="C36" i="5"/>
  <c r="D36" i="5"/>
  <c r="E36" i="5"/>
  <c r="C37" i="5"/>
  <c r="D37" i="5"/>
  <c r="E37" i="5"/>
  <c r="D23" i="5"/>
  <c r="E23" i="5"/>
  <c r="C23" i="5"/>
  <c r="AE13" i="4"/>
  <c r="AE12" i="4"/>
  <c r="AE11" i="4"/>
  <c r="AE10" i="4"/>
  <c r="AE9" i="4"/>
  <c r="AE8" i="4"/>
  <c r="AE7" i="4"/>
  <c r="AE6" i="4"/>
  <c r="AE5" i="4"/>
  <c r="AE4" i="4"/>
  <c r="AE3" i="4"/>
  <c r="P13" i="4"/>
  <c r="P12" i="4"/>
  <c r="P11" i="4"/>
  <c r="P10" i="4"/>
  <c r="P9" i="4"/>
  <c r="P8" i="4"/>
  <c r="P7" i="4"/>
  <c r="P6" i="4"/>
  <c r="P5" i="4"/>
  <c r="P4" i="4"/>
  <c r="P3" i="4"/>
  <c r="E167" i="4"/>
  <c r="E166" i="4"/>
  <c r="E165" i="4"/>
  <c r="E164" i="4"/>
  <c r="E163" i="4"/>
  <c r="E162" i="4"/>
  <c r="E161" i="4"/>
  <c r="E160" i="4"/>
  <c r="E159" i="4"/>
  <c r="E158" i="4"/>
  <c r="E157" i="4"/>
  <c r="D167" i="4"/>
  <c r="C167" i="4"/>
  <c r="B167" i="4"/>
  <c r="D166" i="4"/>
  <c r="C166" i="4"/>
  <c r="B166" i="4"/>
  <c r="D165" i="4"/>
  <c r="C165" i="4"/>
  <c r="B165" i="4"/>
  <c r="D164" i="4"/>
  <c r="C164" i="4"/>
  <c r="B164" i="4"/>
  <c r="F164" i="4" s="1"/>
  <c r="D163" i="4"/>
  <c r="F163" i="4" s="1"/>
  <c r="C163" i="4"/>
  <c r="B163" i="4"/>
  <c r="D162" i="4"/>
  <c r="C162" i="4"/>
  <c r="B162" i="4"/>
  <c r="D161" i="4"/>
  <c r="C161" i="4"/>
  <c r="B161" i="4"/>
  <c r="D160" i="4"/>
  <c r="C160" i="4"/>
  <c r="B160" i="4"/>
  <c r="F160" i="4" s="1"/>
  <c r="D159" i="4"/>
  <c r="C159" i="4"/>
  <c r="B159" i="4"/>
  <c r="D158" i="4"/>
  <c r="C158" i="4"/>
  <c r="B158" i="4"/>
  <c r="D157" i="4"/>
  <c r="C157" i="4"/>
  <c r="F157" i="4" s="1"/>
  <c r="B157" i="4"/>
  <c r="F166" i="4"/>
  <c r="F162" i="4"/>
  <c r="F158" i="4"/>
  <c r="F144" i="4"/>
  <c r="F145" i="4"/>
  <c r="F148" i="4"/>
  <c r="F149" i="4"/>
  <c r="F141" i="4"/>
  <c r="E142" i="4"/>
  <c r="F142" i="4" s="1"/>
  <c r="E143" i="4"/>
  <c r="F143" i="4" s="1"/>
  <c r="E144" i="4"/>
  <c r="E145" i="4"/>
  <c r="E146" i="4"/>
  <c r="F146" i="4" s="1"/>
  <c r="E147" i="4"/>
  <c r="F147" i="4" s="1"/>
  <c r="E148" i="4"/>
  <c r="E149" i="4"/>
  <c r="E150" i="4"/>
  <c r="F150" i="4" s="1"/>
  <c r="E141" i="4"/>
  <c r="B142" i="4"/>
  <c r="C142" i="4"/>
  <c r="D142" i="4"/>
  <c r="B143" i="4"/>
  <c r="C143" i="4"/>
  <c r="D143" i="4"/>
  <c r="B144" i="4"/>
  <c r="C144" i="4"/>
  <c r="D144" i="4"/>
  <c r="B145" i="4"/>
  <c r="C145" i="4"/>
  <c r="D145" i="4"/>
  <c r="B146" i="4"/>
  <c r="C146" i="4"/>
  <c r="D146" i="4"/>
  <c r="B147" i="4"/>
  <c r="C147" i="4"/>
  <c r="D147" i="4"/>
  <c r="B148" i="4"/>
  <c r="C148" i="4"/>
  <c r="D148" i="4"/>
  <c r="B149" i="4"/>
  <c r="C149" i="4"/>
  <c r="D149" i="4"/>
  <c r="B150" i="4"/>
  <c r="C150" i="4"/>
  <c r="D150" i="4"/>
  <c r="B151" i="4"/>
  <c r="C151" i="4"/>
  <c r="D151" i="4"/>
  <c r="C141" i="4"/>
  <c r="D141" i="4"/>
  <c r="B141" i="4"/>
  <c r="D137" i="4"/>
  <c r="B129" i="4"/>
  <c r="B131" i="4" a="1"/>
  <c r="B131" i="4" s="1"/>
  <c r="B130" i="4" a="1"/>
  <c r="B130" i="4" s="1"/>
  <c r="P125" i="4"/>
  <c r="P126" i="4"/>
  <c r="O126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F125" i="4"/>
  <c r="G125" i="4"/>
  <c r="H125" i="4"/>
  <c r="I125" i="4"/>
  <c r="J125" i="4"/>
  <c r="K125" i="4"/>
  <c r="L125" i="4"/>
  <c r="M125" i="4"/>
  <c r="N125" i="4"/>
  <c r="O125" i="4"/>
  <c r="E125" i="4"/>
  <c r="D123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B45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B43" i="4"/>
  <c r="AD13" i="4"/>
  <c r="AC13" i="4"/>
  <c r="AB13" i="4"/>
  <c r="AA13" i="4"/>
  <c r="Z13" i="4"/>
  <c r="Y13" i="4"/>
  <c r="X13" i="4"/>
  <c r="W13" i="4"/>
  <c r="V13" i="4"/>
  <c r="U13" i="4"/>
  <c r="T13" i="4"/>
  <c r="S13" i="4"/>
  <c r="R13" i="4"/>
  <c r="Q13" i="4"/>
  <c r="O13" i="4"/>
  <c r="O101" i="4" s="1"/>
  <c r="N13" i="4"/>
  <c r="N101" i="4" s="1"/>
  <c r="M13" i="4"/>
  <c r="M101" i="4" s="1"/>
  <c r="L13" i="4"/>
  <c r="L101" i="4" s="1"/>
  <c r="K13" i="4"/>
  <c r="K101" i="4" s="1"/>
  <c r="J13" i="4"/>
  <c r="J101" i="4" s="1"/>
  <c r="I13" i="4"/>
  <c r="I101" i="4" s="1"/>
  <c r="H13" i="4"/>
  <c r="H101" i="4" s="1"/>
  <c r="G13" i="4"/>
  <c r="G101" i="4" s="1"/>
  <c r="F13" i="4"/>
  <c r="F101" i="4" s="1"/>
  <c r="E13" i="4"/>
  <c r="E101" i="4" s="1"/>
  <c r="D13" i="4"/>
  <c r="D101" i="4" s="1"/>
  <c r="C13" i="4"/>
  <c r="C101" i="4" s="1"/>
  <c r="B13" i="4"/>
  <c r="B101" i="4" s="1"/>
  <c r="F15" i="5"/>
  <c r="D14" i="5"/>
  <c r="E14" i="5"/>
  <c r="E17" i="5"/>
  <c r="H17" i="5"/>
  <c r="H16" i="5"/>
  <c r="F16" i="5"/>
  <c r="E18" i="5"/>
  <c r="F17" i="5"/>
  <c r="E15" i="5"/>
  <c r="G15" i="5"/>
  <c r="G17" i="5"/>
  <c r="D17" i="5"/>
  <c r="H15" i="5"/>
  <c r="D18" i="5"/>
  <c r="E16" i="5"/>
  <c r="H14" i="5"/>
  <c r="G14" i="5"/>
  <c r="D15" i="5"/>
  <c r="F14" i="5"/>
  <c r="G16" i="5"/>
  <c r="D16" i="5"/>
  <c r="G18" i="5"/>
  <c r="H18" i="5"/>
  <c r="F18" i="5"/>
  <c r="F159" i="4" l="1"/>
  <c r="F161" i="4"/>
  <c r="F165" i="4"/>
  <c r="F167" i="4"/>
  <c r="E151" i="4"/>
  <c r="F151" i="4" s="1"/>
  <c r="B102" i="4"/>
  <c r="C104" i="4" s="1"/>
  <c r="N46" i="4"/>
  <c r="J46" i="4"/>
  <c r="F46" i="4"/>
  <c r="K48" i="4"/>
  <c r="C48" i="4"/>
  <c r="O46" i="4"/>
  <c r="K46" i="4"/>
  <c r="G46" i="4"/>
  <c r="C46" i="4"/>
  <c r="M48" i="4"/>
  <c r="I48" i="4"/>
  <c r="E48" i="4"/>
  <c r="B48" i="4"/>
  <c r="E46" i="4"/>
  <c r="G48" i="4"/>
  <c r="B46" i="4"/>
  <c r="L46" i="4"/>
  <c r="H46" i="4"/>
  <c r="D46" i="4"/>
  <c r="N48" i="4"/>
  <c r="J48" i="4"/>
  <c r="F48" i="4"/>
  <c r="Q46" i="4"/>
  <c r="I44" i="4"/>
  <c r="I47" i="4" s="1"/>
  <c r="Q45" i="4"/>
  <c r="L44" i="4"/>
  <c r="L47" i="4" s="1"/>
  <c r="P49" i="4"/>
  <c r="Q48" i="4"/>
  <c r="G44" i="4"/>
  <c r="G47" i="4" s="1"/>
  <c r="P45" i="4"/>
  <c r="E25" i="4" s="1"/>
  <c r="P48" i="4"/>
  <c r="D44" i="4"/>
  <c r="M44" i="4"/>
  <c r="P43" i="4"/>
  <c r="E44" i="4"/>
  <c r="E47" i="4" s="1"/>
  <c r="J44" i="4"/>
  <c r="J47" i="4" s="1"/>
  <c r="N44" i="4"/>
  <c r="N47" i="4" s="1"/>
  <c r="B44" i="4"/>
  <c r="B47" i="4" s="1"/>
  <c r="C44" i="4"/>
  <c r="C47" i="4" s="1"/>
  <c r="P46" i="4"/>
  <c r="Q43" i="4"/>
  <c r="Q49" i="4"/>
  <c r="F44" i="4"/>
  <c r="F47" i="4" s="1"/>
  <c r="K44" i="4"/>
  <c r="K47" i="4" s="1"/>
  <c r="O44" i="4"/>
  <c r="O47" i="4" s="1"/>
  <c r="H44" i="4"/>
  <c r="H47" i="4" s="1"/>
  <c r="B49" i="4"/>
  <c r="I49" i="4"/>
  <c r="M49" i="4"/>
  <c r="L49" i="4"/>
  <c r="H49" i="4"/>
  <c r="D49" i="4"/>
  <c r="O49" i="4"/>
  <c r="K49" i="4"/>
  <c r="G49" i="4"/>
  <c r="C49" i="4"/>
  <c r="O48" i="4"/>
  <c r="E49" i="4"/>
  <c r="D48" i="4"/>
  <c r="H48" i="4"/>
  <c r="L48" i="4"/>
  <c r="F49" i="4"/>
  <c r="J49" i="4"/>
  <c r="N49" i="4"/>
  <c r="I46" i="4"/>
  <c r="M46" i="4"/>
  <c r="C102" i="4" l="1"/>
  <c r="C103" i="4" s="1"/>
  <c r="D102" i="4" s="1"/>
  <c r="D103" i="4" s="1"/>
  <c r="J25" i="4"/>
  <c r="Q47" i="4" a="1"/>
  <c r="Q47" i="4" s="1"/>
  <c r="P47" i="4" a="1"/>
  <c r="P47" i="4" s="1"/>
  <c r="I25" i="4"/>
  <c r="M47" i="4"/>
  <c r="Q44" i="4"/>
  <c r="P44" i="4"/>
  <c r="D47" i="4"/>
  <c r="E102" i="4" l="1"/>
  <c r="E104" i="4"/>
  <c r="D104" i="4"/>
  <c r="F104" i="4" l="1"/>
  <c r="E103" i="4"/>
  <c r="F102" i="4"/>
  <c r="F103" i="4" l="1"/>
  <c r="G102" i="4" s="1"/>
  <c r="G104" i="4"/>
  <c r="G103" i="4"/>
  <c r="H104" i="4" l="1"/>
  <c r="H102" i="4"/>
  <c r="H103" i="4" l="1"/>
  <c r="I104" i="4" s="1"/>
  <c r="I102" i="4" l="1"/>
  <c r="I103" i="4" l="1"/>
  <c r="J102" i="4" s="1"/>
  <c r="J103" i="4" l="1"/>
  <c r="K104" i="4" s="1"/>
  <c r="J104" i="4"/>
  <c r="K102" i="4" l="1"/>
  <c r="K103" i="4" l="1"/>
  <c r="L102" i="4" s="1"/>
  <c r="L104" i="4" l="1"/>
  <c r="L103" i="4"/>
  <c r="M102" i="4" s="1"/>
  <c r="M104" i="4" l="1"/>
  <c r="M103" i="4"/>
  <c r="N102" i="4" s="1"/>
  <c r="N104" i="4" l="1"/>
  <c r="N103" i="4"/>
  <c r="O102" i="4" s="1"/>
  <c r="O103" i="4" l="1"/>
  <c r="P104" i="4" s="1"/>
  <c r="O104" i="4"/>
  <c r="E96" i="4" s="1" a="1"/>
  <c r="E96" i="4" s="1"/>
</calcChain>
</file>

<file path=xl/sharedStrings.xml><?xml version="1.0" encoding="utf-8"?>
<sst xmlns="http://schemas.openxmlformats.org/spreadsheetml/2006/main" count="956" uniqueCount="89">
  <si>
    <t>В произвольные клетки текущего листа введены натуральные числа, например «5». 
При двойном щелчке по любой заполненной клетке происходит запуск макроса и заполнение 
ячеек вниз и вправо, как показано в примере.
Если не получается полностью работающей программы, можно показать ее часть и/или 
описать словами логику ее работы.</t>
  </si>
  <si>
    <t>На активном листе есть два линейных графика один под другим 
(ось х - период времени, ось У - некий показатель). 
Макрос находит период с максимальной разницей в значениях между двумя графиками 
и рисует в этом месте стрелку от точки на одном графике к точке на другом. 
Если не получается полностью работающей программы, можно показать ее часть и/или 
описать словами логику ее работы.</t>
  </si>
  <si>
    <t>янв</t>
  </si>
  <si>
    <t>фев</t>
  </si>
  <si>
    <t>мар</t>
  </si>
  <si>
    <t>апр</t>
  </si>
  <si>
    <t>май</t>
  </si>
  <si>
    <t>июн</t>
  </si>
  <si>
    <t>июл</t>
  </si>
  <si>
    <t>авг</t>
  </si>
  <si>
    <t>сен</t>
  </si>
  <si>
    <t>окт</t>
  </si>
  <si>
    <t>ноя</t>
  </si>
  <si>
    <t>дек</t>
  </si>
  <si>
    <t>Доходы</t>
  </si>
  <si>
    <t>План</t>
  </si>
  <si>
    <t>Прибыль</t>
  </si>
  <si>
    <t>№1</t>
  </si>
  <si>
    <t>№2</t>
  </si>
  <si>
    <t>№3</t>
  </si>
  <si>
    <t>№4</t>
  </si>
  <si>
    <t>№5</t>
  </si>
  <si>
    <t>№6</t>
  </si>
  <si>
    <t>№7</t>
  </si>
  <si>
    <t>№8</t>
  </si>
  <si>
    <t>№9</t>
  </si>
  <si>
    <t>№10</t>
  </si>
  <si>
    <t>Задание:
Розничная сеть состоит из 10-и магазинов,  доходы и прибыль которых приведена выше.
Необходимо выставить план на каждый магазин на март. Опишите детально саму методику расчета плана и проставьте цифры на март ввиде формул.</t>
  </si>
  <si>
    <r>
      <t xml:space="preserve">Дана таблица данных содержащая 200 строк
1. Прописать формулы в ячейки D14:H18, чтобы в них суммировались данные исходной таблицы в соответствии с выбранными значениями колонок и столбцов
2. С помощью формул выявить, в каком году и по какой статье не представлены одновременно все три бизнеса (m,f,r)?
Задание выполнить </t>
    </r>
    <r>
      <rPr>
        <b/>
        <sz val="11"/>
        <color rgb="FFFF0000"/>
        <rFont val="Calibri"/>
        <family val="2"/>
        <charset val="204"/>
        <scheme val="minor"/>
      </rPr>
      <t>БЕЗ</t>
    </r>
    <r>
      <rPr>
        <sz val="11"/>
        <color theme="1"/>
        <rFont val="Calibri"/>
        <family val="2"/>
        <scheme val="minor"/>
      </rPr>
      <t xml:space="preserve"> сводных таблиц</t>
    </r>
  </si>
  <si>
    <t>Год</t>
  </si>
  <si>
    <t>Вид</t>
  </si>
  <si>
    <t>Статья</t>
  </si>
  <si>
    <t>B</t>
  </si>
  <si>
    <t>D</t>
  </si>
  <si>
    <t>G</t>
  </si>
  <si>
    <t>A</t>
  </si>
  <si>
    <t>C</t>
  </si>
  <si>
    <t>B2C</t>
  </si>
  <si>
    <t>B2B</t>
  </si>
  <si>
    <t>Абоненты</t>
  </si>
  <si>
    <t>B2G</t>
  </si>
  <si>
    <t>OIBDA</t>
  </si>
  <si>
    <t>M2M</t>
  </si>
  <si>
    <t>IoT</t>
  </si>
  <si>
    <t>Месяц</t>
  </si>
  <si>
    <t>Бизнес</t>
  </si>
  <si>
    <t>E</t>
  </si>
  <si>
    <t>F</t>
  </si>
  <si>
    <t>m</t>
  </si>
  <si>
    <t>r</t>
  </si>
  <si>
    <t>f</t>
  </si>
  <si>
    <t>Магазин</t>
  </si>
  <si>
    <t>Период</t>
  </si>
  <si>
    <t>Total</t>
  </si>
  <si>
    <t>%П/Д</t>
  </si>
  <si>
    <t>Д</t>
  </si>
  <si>
    <t>П</t>
  </si>
  <si>
    <t>Р</t>
  </si>
  <si>
    <t>%Д</t>
  </si>
  <si>
    <t>%П</t>
  </si>
  <si>
    <t>%Р</t>
  </si>
  <si>
    <t>AV. 12m</t>
  </si>
  <si>
    <t>AV. 3M</t>
  </si>
  <si>
    <t>Тип:</t>
  </si>
  <si>
    <t>Динамика за последние 3 мес.:</t>
  </si>
  <si>
    <t>Доход сети</t>
  </si>
  <si>
    <t>Exp. Smooth</t>
  </si>
  <si>
    <t>Trend</t>
  </si>
  <si>
    <t>k</t>
  </si>
  <si>
    <t>b</t>
  </si>
  <si>
    <t>MAPE</t>
  </si>
  <si>
    <t>Forecast</t>
  </si>
  <si>
    <t xml:space="preserve">Шаг 1. </t>
  </si>
  <si>
    <t>Шаг 2.</t>
  </si>
  <si>
    <t>M1</t>
  </si>
  <si>
    <t>M2</t>
  </si>
  <si>
    <t>M3</t>
  </si>
  <si>
    <t>Sum</t>
  </si>
  <si>
    <t>Av. 3 months</t>
  </si>
  <si>
    <t>Prev. period</t>
  </si>
  <si>
    <t>Holt</t>
  </si>
  <si>
    <t>Шаг 3.</t>
  </si>
  <si>
    <t>Веса для расчета среднего</t>
  </si>
  <si>
    <t>Доля</t>
  </si>
  <si>
    <t>Шаг 4.</t>
  </si>
  <si>
    <t>Доход</t>
  </si>
  <si>
    <t>All three?</t>
  </si>
  <si>
    <t>Не представлены одновременно все бизнесы:</t>
  </si>
  <si>
    <t>Веса для расчета скользящего среднего (оптимизированы в Solver'е для минимизации MAPE)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</si>
</sst>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  <numFmt numFmtId="166" formatCode="_-* #,##0.0_-;\-* #,##0.0_-;_-* &quot;-&quot;??_-;_-@_-"/>
    <numFmt numFmtId="167" formatCode="[$-409]mmm\-yy;@"/>
    <numFmt numFmtId="168" formatCode="0.0%"/>
    <numFmt numFmtId="169" formatCode="_(* #,##0_);_(* \(#,##0\);_(* &quot;-&quot;??_);_(@_)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06">
    <xf numFmtId="0" fontId="0" fillId="0" borderId="0" xfId="0"/>
    <xf numFmtId="0" fontId="1" fillId="0" borderId="0" xfId="2"/>
    <xf numFmtId="9" fontId="0" fillId="0" borderId="0" xfId="3" applyFont="1"/>
    <xf numFmtId="0" fontId="0" fillId="0" borderId="10" xfId="0" applyBorder="1" applyAlignment="1">
      <alignment horizontal="right"/>
    </xf>
    <xf numFmtId="17" fontId="0" fillId="0" borderId="9" xfId="0" applyNumberFormat="1" applyBorder="1"/>
    <xf numFmtId="17" fontId="0" fillId="0" borderId="0" xfId="0" applyNumberFormat="1" applyBorder="1"/>
    <xf numFmtId="17" fontId="0" fillId="0" borderId="10" xfId="0" applyNumberFormat="1" applyBorder="1"/>
    <xf numFmtId="165" fontId="0" fillId="0" borderId="9" xfId="1" applyNumberFormat="1" applyFont="1" applyBorder="1"/>
    <xf numFmtId="165" fontId="0" fillId="0" borderId="0" xfId="1" applyNumberFormat="1" applyFont="1" applyBorder="1"/>
    <xf numFmtId="165" fontId="0" fillId="3" borderId="10" xfId="1" applyNumberFormat="1" applyFont="1" applyFill="1" applyBorder="1"/>
    <xf numFmtId="0" fontId="0" fillId="0" borderId="0" xfId="0" applyAlignment="1">
      <alignment horizontal="left"/>
    </xf>
    <xf numFmtId="0" fontId="0" fillId="0" borderId="0" xfId="0" applyAlignment="1"/>
    <xf numFmtId="0" fontId="1" fillId="4" borderId="11" xfId="2" applyFill="1" applyBorder="1"/>
    <xf numFmtId="0" fontId="1" fillId="0" borderId="11" xfId="2" applyBorder="1"/>
    <xf numFmtId="0" fontId="1" fillId="2" borderId="11" xfId="2" applyFill="1" applyBorder="1"/>
    <xf numFmtId="0" fontId="1" fillId="0" borderId="0" xfId="2" applyBorder="1"/>
    <xf numFmtId="0" fontId="1" fillId="0" borderId="12" xfId="2" applyBorder="1"/>
    <xf numFmtId="0" fontId="1" fillId="0" borderId="13" xfId="2" applyBorder="1"/>
    <xf numFmtId="0" fontId="1" fillId="0" borderId="14" xfId="2" applyBorder="1"/>
    <xf numFmtId="0" fontId="1" fillId="0" borderId="9" xfId="2" applyBorder="1"/>
    <xf numFmtId="0" fontId="1" fillId="0" borderId="10" xfId="2" applyBorder="1"/>
    <xf numFmtId="0" fontId="1" fillId="0" borderId="15" xfId="2" applyBorder="1"/>
    <xf numFmtId="0" fontId="1" fillId="0" borderId="16" xfId="2" applyBorder="1"/>
    <xf numFmtId="0" fontId="1" fillId="0" borderId="17" xfId="2" applyBorder="1"/>
    <xf numFmtId="0" fontId="0" fillId="0" borderId="0" xfId="0" applyNumberFormat="1"/>
    <xf numFmtId="9" fontId="0" fillId="0" borderId="0" xfId="4" applyFont="1"/>
    <xf numFmtId="0" fontId="0" fillId="0" borderId="13" xfId="0" applyBorder="1"/>
    <xf numFmtId="0" fontId="6" fillId="0" borderId="0" xfId="0" applyFont="1"/>
    <xf numFmtId="0" fontId="0" fillId="0" borderId="23" xfId="0" applyBorder="1"/>
    <xf numFmtId="9" fontId="0" fillId="0" borderId="24" xfId="4" applyFont="1" applyBorder="1"/>
    <xf numFmtId="0" fontId="6" fillId="0" borderId="20" xfId="0" applyFont="1" applyBorder="1"/>
    <xf numFmtId="0" fontId="6" fillId="0" borderId="26" xfId="0" applyFont="1" applyBorder="1"/>
    <xf numFmtId="0" fontId="6" fillId="0" borderId="24" xfId="0" applyFont="1" applyBorder="1"/>
    <xf numFmtId="9" fontId="0" fillId="0" borderId="28" xfId="4" applyFont="1" applyBorder="1"/>
    <xf numFmtId="0" fontId="6" fillId="0" borderId="33" xfId="0" applyFont="1" applyBorder="1"/>
    <xf numFmtId="0" fontId="6" fillId="0" borderId="34" xfId="0" applyFont="1" applyBorder="1"/>
    <xf numFmtId="0" fontId="6" fillId="0" borderId="35" xfId="0" applyFont="1" applyBorder="1"/>
    <xf numFmtId="0" fontId="6" fillId="0" borderId="36" xfId="0" applyFont="1" applyBorder="1"/>
    <xf numFmtId="0" fontId="6" fillId="0" borderId="30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167" fontId="6" fillId="0" borderId="32" xfId="0" applyNumberFormat="1" applyFont="1" applyBorder="1" applyAlignment="1">
      <alignment horizontal="center"/>
    </xf>
    <xf numFmtId="167" fontId="6" fillId="0" borderId="28" xfId="0" applyNumberFormat="1" applyFont="1" applyBorder="1" applyAlignment="1">
      <alignment horizontal="center"/>
    </xf>
    <xf numFmtId="167" fontId="6" fillId="0" borderId="29" xfId="0" applyNumberFormat="1" applyFont="1" applyBorder="1" applyAlignment="1">
      <alignment horizontal="center"/>
    </xf>
    <xf numFmtId="9" fontId="0" fillId="0" borderId="23" xfId="4" applyFont="1" applyBorder="1"/>
    <xf numFmtId="9" fontId="0" fillId="0" borderId="25" xfId="4" applyFont="1" applyBorder="1"/>
    <xf numFmtId="0" fontId="6" fillId="0" borderId="21" xfId="0" applyFont="1" applyBorder="1" applyAlignment="1">
      <alignment horizontal="center"/>
    </xf>
    <xf numFmtId="165" fontId="7" fillId="0" borderId="17" xfId="1" applyNumberFormat="1" applyFont="1" applyBorder="1"/>
    <xf numFmtId="165" fontId="7" fillId="0" borderId="37" xfId="1" applyNumberFormat="1" applyFont="1" applyBorder="1"/>
    <xf numFmtId="165" fontId="7" fillId="0" borderId="0" xfId="0" applyNumberFormat="1" applyFont="1"/>
    <xf numFmtId="165" fontId="7" fillId="0" borderId="31" xfId="1" applyNumberFormat="1" applyFont="1" applyBorder="1"/>
    <xf numFmtId="165" fontId="7" fillId="0" borderId="11" xfId="1" applyNumberFormat="1" applyFont="1" applyBorder="1"/>
    <xf numFmtId="165" fontId="7" fillId="0" borderId="23" xfId="1" applyNumberFormat="1" applyFont="1" applyBorder="1"/>
    <xf numFmtId="168" fontId="7" fillId="0" borderId="31" xfId="4" applyNumberFormat="1" applyFont="1" applyBorder="1"/>
    <xf numFmtId="168" fontId="7" fillId="0" borderId="11" xfId="4" applyNumberFormat="1" applyFont="1" applyBorder="1"/>
    <xf numFmtId="168" fontId="7" fillId="0" borderId="23" xfId="4" applyNumberFormat="1" applyFont="1" applyBorder="1"/>
    <xf numFmtId="168" fontId="7" fillId="0" borderId="32" xfId="4" applyNumberFormat="1" applyFont="1" applyBorder="1"/>
    <xf numFmtId="168" fontId="7" fillId="0" borderId="28" xfId="4" applyNumberFormat="1" applyFont="1" applyBorder="1"/>
    <xf numFmtId="168" fontId="7" fillId="0" borderId="25" xfId="4" applyNumberFormat="1" applyFont="1" applyBorder="1"/>
    <xf numFmtId="165" fontId="7" fillId="0" borderId="15" xfId="1" applyNumberFormat="1" applyFont="1" applyBorder="1"/>
    <xf numFmtId="165" fontId="7" fillId="0" borderId="19" xfId="1" applyNumberFormat="1" applyFont="1" applyBorder="1"/>
    <xf numFmtId="168" fontId="7" fillId="0" borderId="19" xfId="4" applyNumberFormat="1" applyFont="1" applyBorder="1"/>
    <xf numFmtId="168" fontId="7" fillId="0" borderId="40" xfId="4" applyNumberFormat="1" applyFont="1" applyBorder="1"/>
    <xf numFmtId="168" fontId="7" fillId="0" borderId="29" xfId="4" applyNumberFormat="1" applyFont="1" applyBorder="1"/>
    <xf numFmtId="165" fontId="7" fillId="0" borderId="11" xfId="0" applyNumberFormat="1" applyFont="1" applyBorder="1"/>
    <xf numFmtId="0" fontId="0" fillId="0" borderId="20" xfId="0" applyBorder="1"/>
    <xf numFmtId="0" fontId="0" fillId="0" borderId="22" xfId="0" applyBorder="1"/>
    <xf numFmtId="165" fontId="7" fillId="0" borderId="22" xfId="0" applyNumberFormat="1" applyFont="1" applyBorder="1"/>
    <xf numFmtId="165" fontId="7" fillId="0" borderId="23" xfId="0" applyNumberFormat="1" applyFont="1" applyBorder="1"/>
    <xf numFmtId="168" fontId="7" fillId="0" borderId="22" xfId="4" applyNumberFormat="1" applyFont="1" applyBorder="1"/>
    <xf numFmtId="168" fontId="7" fillId="0" borderId="24" xfId="4" applyNumberFormat="1" applyFont="1" applyBorder="1"/>
    <xf numFmtId="165" fontId="7" fillId="0" borderId="38" xfId="0" applyNumberFormat="1" applyFont="1" applyBorder="1"/>
    <xf numFmtId="165" fontId="7" fillId="0" borderId="39" xfId="0" applyNumberFormat="1" applyFont="1" applyBorder="1"/>
    <xf numFmtId="0" fontId="0" fillId="0" borderId="24" xfId="0" applyBorder="1"/>
    <xf numFmtId="165" fontId="7" fillId="0" borderId="13" xfId="0" applyNumberFormat="1" applyFont="1" applyBorder="1"/>
    <xf numFmtId="0" fontId="7" fillId="0" borderId="13" xfId="0" applyFont="1" applyBorder="1"/>
    <xf numFmtId="0" fontId="6" fillId="0" borderId="0" xfId="0" applyFont="1" applyAlignment="1">
      <alignment horizontal="center" vertical="center"/>
    </xf>
    <xf numFmtId="0" fontId="6" fillId="5" borderId="18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7" fillId="0" borderId="0" xfId="0" applyFont="1"/>
    <xf numFmtId="43" fontId="0" fillId="0" borderId="0" xfId="0" applyNumberFormat="1"/>
    <xf numFmtId="165" fontId="7" fillId="0" borderId="0" xfId="1" applyNumberFormat="1" applyFont="1"/>
    <xf numFmtId="168" fontId="0" fillId="0" borderId="48" xfId="4" applyNumberFormat="1" applyFont="1" applyBorder="1"/>
    <xf numFmtId="0" fontId="9" fillId="0" borderId="0" xfId="0" applyFont="1"/>
    <xf numFmtId="0" fontId="6" fillId="0" borderId="49" xfId="0" applyFont="1" applyBorder="1"/>
    <xf numFmtId="167" fontId="6" fillId="0" borderId="14" xfId="0" applyNumberFormat="1" applyFont="1" applyBorder="1" applyAlignment="1">
      <alignment horizontal="center"/>
    </xf>
    <xf numFmtId="167" fontId="6" fillId="0" borderId="50" xfId="0" applyNumberFormat="1" applyFont="1" applyBorder="1" applyAlignment="1">
      <alignment horizontal="center"/>
    </xf>
    <xf numFmtId="167" fontId="6" fillId="0" borderId="12" xfId="0" applyNumberFormat="1" applyFont="1" applyBorder="1" applyAlignment="1">
      <alignment horizontal="center"/>
    </xf>
    <xf numFmtId="164" fontId="7" fillId="0" borderId="11" xfId="0" applyNumberFormat="1" applyFont="1" applyBorder="1"/>
    <xf numFmtId="165" fontId="7" fillId="0" borderId="26" xfId="0" applyNumberFormat="1" applyFont="1" applyBorder="1"/>
    <xf numFmtId="165" fontId="7" fillId="0" borderId="21" xfId="0" applyNumberFormat="1" applyFont="1" applyBorder="1"/>
    <xf numFmtId="165" fontId="7" fillId="0" borderId="28" xfId="0" applyNumberFormat="1" applyFont="1" applyBorder="1"/>
    <xf numFmtId="165" fontId="7" fillId="0" borderId="30" xfId="0" applyNumberFormat="1" applyFont="1" applyBorder="1"/>
    <xf numFmtId="0" fontId="7" fillId="0" borderId="31" xfId="0" applyFont="1" applyBorder="1"/>
    <xf numFmtId="0" fontId="7" fillId="0" borderId="32" xfId="0" applyFont="1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6" fillId="0" borderId="47" xfId="0" applyFont="1" applyBorder="1"/>
    <xf numFmtId="166" fontId="0" fillId="0" borderId="21" xfId="0" applyNumberFormat="1" applyFont="1" applyBorder="1"/>
    <xf numFmtId="0" fontId="0" fillId="0" borderId="25" xfId="0" applyFont="1" applyBorder="1"/>
    <xf numFmtId="167" fontId="6" fillId="0" borderId="51" xfId="0" applyNumberFormat="1" applyFont="1" applyBorder="1" applyAlignment="1">
      <alignment horizontal="center"/>
    </xf>
    <xf numFmtId="0" fontId="6" fillId="0" borderId="21" xfId="0" applyFont="1" applyBorder="1"/>
    <xf numFmtId="9" fontId="0" fillId="0" borderId="52" xfId="4" applyFont="1" applyBorder="1"/>
    <xf numFmtId="9" fontId="0" fillId="0" borderId="50" xfId="4" applyFont="1" applyBorder="1"/>
    <xf numFmtId="9" fontId="0" fillId="0" borderId="51" xfId="4" applyFont="1" applyBorder="1"/>
    <xf numFmtId="0" fontId="6" fillId="0" borderId="53" xfId="0" applyFont="1" applyBorder="1"/>
    <xf numFmtId="167" fontId="6" fillId="0" borderId="54" xfId="0" applyNumberFormat="1" applyFont="1" applyBorder="1" applyAlignment="1">
      <alignment horizontal="center"/>
    </xf>
    <xf numFmtId="167" fontId="6" fillId="0" borderId="55" xfId="0" applyNumberFormat="1" applyFont="1" applyBorder="1" applyAlignment="1">
      <alignment horizontal="center"/>
    </xf>
    <xf numFmtId="167" fontId="6" fillId="0" borderId="56" xfId="0" applyNumberFormat="1" applyFont="1" applyBorder="1" applyAlignment="1">
      <alignment horizontal="center"/>
    </xf>
    <xf numFmtId="167" fontId="6" fillId="0" borderId="43" xfId="0" applyNumberFormat="1" applyFont="1" applyBorder="1" applyAlignment="1">
      <alignment horizontal="center"/>
    </xf>
    <xf numFmtId="165" fontId="7" fillId="0" borderId="32" xfId="1" applyNumberFormat="1" applyFont="1" applyBorder="1"/>
    <xf numFmtId="165" fontId="7" fillId="0" borderId="28" xfId="1" applyNumberFormat="1" applyFont="1" applyBorder="1"/>
    <xf numFmtId="165" fontId="7" fillId="0" borderId="25" xfId="1" applyNumberFormat="1" applyFont="1" applyBorder="1"/>
    <xf numFmtId="9" fontId="0" fillId="6" borderId="21" xfId="4" applyFont="1" applyFill="1" applyBorder="1"/>
    <xf numFmtId="165" fontId="7" fillId="0" borderId="37" xfId="0" applyNumberFormat="1" applyFont="1" applyBorder="1"/>
    <xf numFmtId="167" fontId="6" fillId="0" borderId="57" xfId="0" applyNumberFormat="1" applyFont="1" applyBorder="1" applyAlignment="1">
      <alignment horizontal="center"/>
    </xf>
    <xf numFmtId="167" fontId="6" fillId="0" borderId="58" xfId="0" applyNumberFormat="1" applyFont="1" applyBorder="1" applyAlignment="1">
      <alignment horizontal="center"/>
    </xf>
    <xf numFmtId="165" fontId="7" fillId="0" borderId="17" xfId="0" applyNumberFormat="1" applyFont="1" applyBorder="1"/>
    <xf numFmtId="165" fontId="7" fillId="0" borderId="31" xfId="0" applyNumberFormat="1" applyFont="1" applyBorder="1"/>
    <xf numFmtId="165" fontId="7" fillId="0" borderId="32" xfId="0" applyNumberFormat="1" applyFont="1" applyBorder="1"/>
    <xf numFmtId="0" fontId="6" fillId="0" borderId="18" xfId="0" applyFont="1" applyBorder="1"/>
    <xf numFmtId="0" fontId="0" fillId="0" borderId="36" xfId="0" applyBorder="1"/>
    <xf numFmtId="167" fontId="6" fillId="0" borderId="18" xfId="0" applyNumberFormat="1" applyFont="1" applyBorder="1" applyAlignment="1">
      <alignment horizontal="center"/>
    </xf>
    <xf numFmtId="167" fontId="6" fillId="0" borderId="59" xfId="0" applyNumberFormat="1" applyFont="1" applyBorder="1" applyAlignment="1">
      <alignment horizontal="center"/>
    </xf>
    <xf numFmtId="165" fontId="7" fillId="0" borderId="15" xfId="0" applyNumberFormat="1" applyFont="1" applyBorder="1"/>
    <xf numFmtId="165" fontId="7" fillId="0" borderId="19" xfId="0" applyNumberFormat="1" applyFont="1" applyBorder="1"/>
    <xf numFmtId="165" fontId="7" fillId="0" borderId="29" xfId="0" applyNumberFormat="1" applyFont="1" applyBorder="1"/>
    <xf numFmtId="9" fontId="7" fillId="0" borderId="36" xfId="4" applyFont="1" applyBorder="1"/>
    <xf numFmtId="9" fontId="7" fillId="0" borderId="34" xfId="4" applyFont="1" applyBorder="1"/>
    <xf numFmtId="9" fontId="7" fillId="0" borderId="35" xfId="4" applyNumberFormat="1" applyFont="1" applyBorder="1"/>
    <xf numFmtId="169" fontId="7" fillId="6" borderId="36" xfId="0" applyNumberFormat="1" applyFont="1" applyFill="1" applyBorder="1"/>
    <xf numFmtId="169" fontId="7" fillId="6" borderId="34" xfId="0" applyNumberFormat="1" applyFont="1" applyFill="1" applyBorder="1"/>
    <xf numFmtId="169" fontId="7" fillId="6" borderId="35" xfId="0" applyNumberFormat="1" applyFont="1" applyFill="1" applyBorder="1"/>
    <xf numFmtId="165" fontId="7" fillId="6" borderId="25" xfId="0" applyNumberFormat="1" applyFont="1" applyFill="1" applyBorder="1"/>
    <xf numFmtId="165" fontId="7" fillId="0" borderId="29" xfId="1" applyNumberFormat="1" applyFont="1" applyBorder="1"/>
    <xf numFmtId="165" fontId="7" fillId="3" borderId="14" xfId="1" applyNumberFormat="1" applyFont="1" applyFill="1" applyBorder="1"/>
    <xf numFmtId="0" fontId="1" fillId="6" borderId="53" xfId="2" applyFill="1" applyBorder="1"/>
    <xf numFmtId="0" fontId="1" fillId="6" borderId="60" xfId="2" applyFill="1" applyBorder="1"/>
    <xf numFmtId="0" fontId="1" fillId="6" borderId="61" xfId="2" applyFill="1" applyBorder="1"/>
    <xf numFmtId="0" fontId="1" fillId="0" borderId="23" xfId="2" applyBorder="1"/>
    <xf numFmtId="0" fontId="1" fillId="0" borderId="28" xfId="2" applyBorder="1"/>
    <xf numFmtId="0" fontId="1" fillId="0" borderId="25" xfId="2" applyBorder="1"/>
    <xf numFmtId="0" fontId="1" fillId="0" borderId="37" xfId="2" applyBorder="1"/>
    <xf numFmtId="0" fontId="1" fillId="0" borderId="39" xfId="2" applyBorder="1"/>
    <xf numFmtId="0" fontId="1" fillId="0" borderId="31" xfId="2" applyBorder="1"/>
    <xf numFmtId="0" fontId="1" fillId="0" borderId="32" xfId="2" applyBorder="1"/>
    <xf numFmtId="0" fontId="1" fillId="0" borderId="38" xfId="0" applyFont="1" applyBorder="1"/>
    <xf numFmtId="0" fontId="1" fillId="0" borderId="39" xfId="0" applyFont="1" applyBorder="1"/>
    <xf numFmtId="0" fontId="1" fillId="0" borderId="22" xfId="0" applyFont="1" applyBorder="1"/>
    <xf numFmtId="0" fontId="1" fillId="0" borderId="23" xfId="0" applyFont="1" applyBorder="1"/>
    <xf numFmtId="0" fontId="1" fillId="0" borderId="24" xfId="0" applyFont="1" applyBorder="1"/>
    <xf numFmtId="0" fontId="1" fillId="0" borderId="25" xfId="0" applyFont="1" applyBorder="1"/>
    <xf numFmtId="9" fontId="1" fillId="0" borderId="0" xfId="2" applyNumberFormat="1"/>
    <xf numFmtId="0" fontId="1" fillId="0" borderId="47" xfId="0" applyFont="1" applyBorder="1" applyAlignment="1">
      <alignment vertical="center"/>
    </xf>
    <xf numFmtId="0" fontId="1" fillId="0" borderId="48" xfId="0" applyFont="1" applyBorder="1" applyAlignment="1">
      <alignment vertical="center"/>
    </xf>
    <xf numFmtId="0" fontId="6" fillId="0" borderId="58" xfId="2" applyFont="1" applyBorder="1" applyAlignment="1">
      <alignment vertical="center"/>
    </xf>
    <xf numFmtId="0" fontId="6" fillId="0" borderId="57" xfId="2" applyFont="1" applyBorder="1" applyAlignment="1">
      <alignment vertical="center"/>
    </xf>
    <xf numFmtId="0" fontId="6" fillId="0" borderId="48" xfId="2" applyFont="1" applyBorder="1" applyAlignment="1">
      <alignment vertical="center"/>
    </xf>
    <xf numFmtId="0" fontId="6" fillId="0" borderId="0" xfId="2" applyFont="1" applyAlignment="1">
      <alignment wrapText="1"/>
    </xf>
    <xf numFmtId="0" fontId="3" fillId="2" borderId="1" xfId="2" applyFont="1" applyFill="1" applyBorder="1" applyAlignment="1">
      <alignment horizontal="left" vertical="top" wrapText="1" readingOrder="1"/>
    </xf>
    <xf numFmtId="0" fontId="3" fillId="2" borderId="2" xfId="2" applyFont="1" applyFill="1" applyBorder="1" applyAlignment="1">
      <alignment horizontal="left" vertical="top" wrapText="1" readingOrder="1"/>
    </xf>
    <xf numFmtId="0" fontId="3" fillId="2" borderId="3" xfId="2" applyFont="1" applyFill="1" applyBorder="1" applyAlignment="1">
      <alignment horizontal="left" vertical="top" wrapText="1" readingOrder="1"/>
    </xf>
    <xf numFmtId="0" fontId="3" fillId="2" borderId="4" xfId="2" applyFont="1" applyFill="1" applyBorder="1" applyAlignment="1">
      <alignment horizontal="left" vertical="top" wrapText="1" readingOrder="1"/>
    </xf>
    <xf numFmtId="0" fontId="3" fillId="2" borderId="0" xfId="2" applyFont="1" applyFill="1" applyBorder="1" applyAlignment="1">
      <alignment horizontal="left" vertical="top" wrapText="1" readingOrder="1"/>
    </xf>
    <xf numFmtId="0" fontId="3" fillId="2" borderId="5" xfId="2" applyFont="1" applyFill="1" applyBorder="1" applyAlignment="1">
      <alignment horizontal="left" vertical="top" wrapText="1" readingOrder="1"/>
    </xf>
    <xf numFmtId="0" fontId="3" fillId="2" borderId="6" xfId="2" applyFont="1" applyFill="1" applyBorder="1" applyAlignment="1">
      <alignment horizontal="left" vertical="top" wrapText="1" readingOrder="1"/>
    </xf>
    <xf numFmtId="0" fontId="3" fillId="2" borderId="7" xfId="2" applyFont="1" applyFill="1" applyBorder="1" applyAlignment="1">
      <alignment horizontal="left" vertical="top" wrapText="1" readingOrder="1"/>
    </xf>
    <xf numFmtId="0" fontId="3" fillId="2" borderId="8" xfId="2" applyFont="1" applyFill="1" applyBorder="1" applyAlignment="1">
      <alignment horizontal="left" vertical="top" wrapText="1" readingOrder="1"/>
    </xf>
    <xf numFmtId="0" fontId="4" fillId="2" borderId="1" xfId="2" applyFont="1" applyFill="1" applyBorder="1" applyAlignment="1">
      <alignment horizontal="left" vertical="top" wrapText="1"/>
    </xf>
    <xf numFmtId="0" fontId="4" fillId="2" borderId="2" xfId="2" applyFont="1" applyFill="1" applyBorder="1" applyAlignment="1">
      <alignment horizontal="left" vertical="top" wrapText="1"/>
    </xf>
    <xf numFmtId="0" fontId="4" fillId="2" borderId="3" xfId="2" applyFont="1" applyFill="1" applyBorder="1" applyAlignment="1">
      <alignment horizontal="left" vertical="top" wrapText="1"/>
    </xf>
    <xf numFmtId="0" fontId="4" fillId="2" borderId="4" xfId="2" applyFont="1" applyFill="1" applyBorder="1" applyAlignment="1">
      <alignment horizontal="left" vertical="top" wrapText="1"/>
    </xf>
    <xf numFmtId="0" fontId="4" fillId="2" borderId="0" xfId="2" applyFont="1" applyFill="1" applyBorder="1" applyAlignment="1">
      <alignment horizontal="left" vertical="top" wrapText="1"/>
    </xf>
    <xf numFmtId="0" fontId="4" fillId="2" borderId="5" xfId="2" applyFont="1" applyFill="1" applyBorder="1" applyAlignment="1">
      <alignment horizontal="left" vertical="top" wrapText="1"/>
    </xf>
    <xf numFmtId="0" fontId="4" fillId="2" borderId="6" xfId="2" applyFont="1" applyFill="1" applyBorder="1" applyAlignment="1">
      <alignment horizontal="left" vertical="top" wrapText="1"/>
    </xf>
    <xf numFmtId="0" fontId="4" fillId="2" borderId="7" xfId="2" applyFont="1" applyFill="1" applyBorder="1" applyAlignment="1">
      <alignment horizontal="left" vertical="top" wrapText="1"/>
    </xf>
    <xf numFmtId="0" fontId="4" fillId="2" borderId="8" xfId="2" applyFont="1" applyFill="1" applyBorder="1" applyAlignment="1">
      <alignment horizontal="left" vertical="top" wrapText="1"/>
    </xf>
    <xf numFmtId="0" fontId="1" fillId="2" borderId="1" xfId="2" applyFill="1" applyBorder="1" applyAlignment="1">
      <alignment horizontal="left" vertical="top" wrapText="1"/>
    </xf>
    <xf numFmtId="0" fontId="1" fillId="2" borderId="2" xfId="2" applyFill="1" applyBorder="1" applyAlignment="1">
      <alignment horizontal="left" vertical="top" wrapText="1"/>
    </xf>
    <xf numFmtId="0" fontId="1" fillId="2" borderId="3" xfId="2" applyFill="1" applyBorder="1" applyAlignment="1">
      <alignment horizontal="left" vertical="top" wrapText="1"/>
    </xf>
    <xf numFmtId="0" fontId="1" fillId="2" borderId="4" xfId="2" applyFill="1" applyBorder="1" applyAlignment="1">
      <alignment horizontal="left" vertical="top" wrapText="1"/>
    </xf>
    <xf numFmtId="0" fontId="1" fillId="2" borderId="0" xfId="2" applyFill="1" applyBorder="1" applyAlignment="1">
      <alignment horizontal="left" vertical="top" wrapText="1"/>
    </xf>
    <xf numFmtId="0" fontId="1" fillId="2" borderId="5" xfId="2" applyFill="1" applyBorder="1" applyAlignment="1">
      <alignment horizontal="left" vertical="top" wrapText="1"/>
    </xf>
    <xf numFmtId="0" fontId="1" fillId="2" borderId="6" xfId="2" applyFill="1" applyBorder="1" applyAlignment="1">
      <alignment horizontal="left" vertical="top" wrapText="1"/>
    </xf>
    <xf numFmtId="0" fontId="1" fillId="2" borderId="7" xfId="2" applyFill="1" applyBorder="1" applyAlignment="1">
      <alignment horizontal="left" vertical="top" wrapText="1"/>
    </xf>
    <xf numFmtId="0" fontId="1" fillId="2" borderId="8" xfId="2" applyFill="1" applyBorder="1" applyAlignment="1">
      <alignment horizontal="left" vertical="top" wrapText="1"/>
    </xf>
    <xf numFmtId="0" fontId="0" fillId="0" borderId="9" xfId="0" applyBorder="1" applyAlignment="1">
      <alignment horizontal="center"/>
    </xf>
    <xf numFmtId="0" fontId="0" fillId="0" borderId="0" xfId="0" applyBorder="1" applyAlignment="1">
      <alignment horizontal="center"/>
    </xf>
    <xf numFmtId="0" fontId="3" fillId="2" borderId="1" xfId="0" applyFont="1" applyFill="1" applyBorder="1" applyAlignment="1">
      <alignment horizontal="left" vertical="top" wrapText="1" readingOrder="1"/>
    </xf>
    <xf numFmtId="0" fontId="3" fillId="2" borderId="2" xfId="0" applyFont="1" applyFill="1" applyBorder="1" applyAlignment="1">
      <alignment horizontal="left" vertical="top" wrapText="1" readingOrder="1"/>
    </xf>
    <xf numFmtId="0" fontId="3" fillId="2" borderId="3" xfId="0" applyFont="1" applyFill="1" applyBorder="1" applyAlignment="1">
      <alignment horizontal="left" vertical="top" wrapText="1" readingOrder="1"/>
    </xf>
    <xf numFmtId="0" fontId="3" fillId="2" borderId="4" xfId="0" applyFont="1" applyFill="1" applyBorder="1" applyAlignment="1">
      <alignment horizontal="left" vertical="top" wrapText="1" readingOrder="1"/>
    </xf>
    <xf numFmtId="0" fontId="3" fillId="2" borderId="0" xfId="0" applyFont="1" applyFill="1" applyBorder="1" applyAlignment="1">
      <alignment horizontal="left" vertical="top" wrapText="1" readingOrder="1"/>
    </xf>
    <xf numFmtId="0" fontId="3" fillId="2" borderId="5" xfId="0" applyFont="1" applyFill="1" applyBorder="1" applyAlignment="1">
      <alignment horizontal="left" vertical="top" wrapText="1" readingOrder="1"/>
    </xf>
    <xf numFmtId="0" fontId="3" fillId="2" borderId="6" xfId="0" applyFont="1" applyFill="1" applyBorder="1" applyAlignment="1">
      <alignment horizontal="left" vertical="top" wrapText="1" readingOrder="1"/>
    </xf>
    <xf numFmtId="0" fontId="3" fillId="2" borderId="7" xfId="0" applyFont="1" applyFill="1" applyBorder="1" applyAlignment="1">
      <alignment horizontal="left" vertical="top" wrapText="1" readingOrder="1"/>
    </xf>
    <xf numFmtId="0" fontId="3" fillId="2" borderId="8" xfId="0" applyFont="1" applyFill="1" applyBorder="1" applyAlignment="1">
      <alignment horizontal="left" vertical="top" wrapText="1" readingOrder="1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0" xfId="0" applyFont="1" applyAlignment="1">
      <alignment horizontal="right" vertical="center" wrapText="1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</cellXfs>
  <cellStyles count="5">
    <cellStyle name="Comma" xfId="1" builtinId="3"/>
    <cellStyle name="Normal" xfId="0" builtinId="0"/>
    <cellStyle name="Percent" xfId="4" builtinId="5"/>
    <cellStyle name="Обычный 2" xfId="2" xr:uid="{00000000-0005-0000-0000-000001000000}"/>
    <cellStyle name="Процентный 2" xfId="3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706036745406831E-2"/>
          <c:y val="5.8700209643605873E-2"/>
          <c:w val="0.87251618547681531"/>
          <c:h val="0.78030802753429407"/>
        </c:manualLayout>
      </c:layout>
      <c:lineChart>
        <c:grouping val="standard"/>
        <c:varyColors val="0"/>
        <c:ser>
          <c:idx val="0"/>
          <c:order val="0"/>
          <c:tx>
            <c:strRef>
              <c:f>Макрос_В!$C$14</c:f>
              <c:strCache>
                <c:ptCount val="1"/>
                <c:pt idx="0">
                  <c:v>2018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Макрос_В!$D$13:$O$13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Макрос_В!$D$14:$O$14</c:f>
              <c:numCache>
                <c:formatCode>General</c:formatCode>
                <c:ptCount val="12"/>
                <c:pt idx="0">
                  <c:v>110</c:v>
                </c:pt>
                <c:pt idx="1">
                  <c:v>108</c:v>
                </c:pt>
                <c:pt idx="2">
                  <c:v>105</c:v>
                </c:pt>
                <c:pt idx="3">
                  <c:v>99</c:v>
                </c:pt>
                <c:pt idx="4">
                  <c:v>77</c:v>
                </c:pt>
                <c:pt idx="5">
                  <c:v>125</c:v>
                </c:pt>
                <c:pt idx="6">
                  <c:v>91</c:v>
                </c:pt>
                <c:pt idx="7">
                  <c:v>76</c:v>
                </c:pt>
                <c:pt idx="8">
                  <c:v>102</c:v>
                </c:pt>
                <c:pt idx="9">
                  <c:v>125</c:v>
                </c:pt>
                <c:pt idx="10">
                  <c:v>116</c:v>
                </c:pt>
                <c:pt idx="11">
                  <c:v>91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048-4B7B-A4BD-94DAB4D770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09784"/>
        <c:axId val="413809456"/>
      </c:lineChart>
      <c:catAx>
        <c:axId val="413809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809456"/>
        <c:crosses val="autoZero"/>
        <c:auto val="1"/>
        <c:lblAlgn val="ctr"/>
        <c:lblOffset val="100"/>
        <c:noMultiLvlLbl val="0"/>
      </c:catAx>
      <c:valAx>
        <c:axId val="413809456"/>
        <c:scaling>
          <c:orientation val="minMax"/>
          <c:max val="127.45"/>
          <c:min val="63.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80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9706036745406831E-2"/>
          <c:y val="5.8700209643605873E-2"/>
          <c:w val="0.87251618547681531"/>
          <c:h val="0.78030802753429407"/>
        </c:manualLayout>
      </c:layout>
      <c:lineChart>
        <c:grouping val="standard"/>
        <c:varyColors val="0"/>
        <c:ser>
          <c:idx val="0"/>
          <c:order val="0"/>
          <c:tx>
            <c:strRef>
              <c:f>Макрос_В!$C$15</c:f>
              <c:strCache>
                <c:ptCount val="1"/>
                <c:pt idx="0">
                  <c:v>2017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Макрос_В!$D$13:$O$13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Макрос_В!$D$15:$O$15</c:f>
              <c:numCache>
                <c:formatCode>General</c:formatCode>
                <c:ptCount val="12"/>
                <c:pt idx="0">
                  <c:v>112</c:v>
                </c:pt>
                <c:pt idx="1">
                  <c:v>108</c:v>
                </c:pt>
                <c:pt idx="2">
                  <c:v>90</c:v>
                </c:pt>
                <c:pt idx="3">
                  <c:v>104</c:v>
                </c:pt>
                <c:pt idx="4">
                  <c:v>82</c:v>
                </c:pt>
                <c:pt idx="5">
                  <c:v>80</c:v>
                </c:pt>
                <c:pt idx="6">
                  <c:v>76</c:v>
                </c:pt>
                <c:pt idx="7">
                  <c:v>86</c:v>
                </c:pt>
                <c:pt idx="8">
                  <c:v>117</c:v>
                </c:pt>
                <c:pt idx="9">
                  <c:v>120</c:v>
                </c:pt>
                <c:pt idx="10">
                  <c:v>121</c:v>
                </c:pt>
                <c:pt idx="11">
                  <c:v>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F62-4075-A7E8-21DE428BB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3809784"/>
        <c:axId val="413809456"/>
      </c:lineChart>
      <c:catAx>
        <c:axId val="413809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809456"/>
        <c:crosses val="autoZero"/>
        <c:auto val="1"/>
        <c:lblAlgn val="ctr"/>
        <c:lblOffset val="100"/>
        <c:noMultiLvlLbl val="0"/>
      </c:catAx>
      <c:valAx>
        <c:axId val="413809456"/>
        <c:scaling>
          <c:orientation val="minMax"/>
          <c:max val="127.45"/>
          <c:min val="63.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3809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Анализ</a:t>
            </a:r>
            <a:r>
              <a:rPr lang="ru-RU" baseline="0"/>
              <a:t> показателей магазинов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Планирование!$A$46</c:f>
              <c:strCache>
                <c:ptCount val="1"/>
                <c:pt idx="0">
                  <c:v>%Д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1">
                  <a:alpha val="52000"/>
                </a:schemeClr>
              </a:solidFill>
            </a:ln>
            <a:effectLst/>
          </c:spPr>
          <c:invertIfNegative val="0"/>
          <c:val>
            <c:numRef>
              <c:f>Планирование!$B$46:$O$46</c:f>
              <c:numCache>
                <c:formatCode>0.0%</c:formatCode>
                <c:ptCount val="14"/>
                <c:pt idx="0">
                  <c:v>6.7574485538818743E-2</c:v>
                </c:pt>
                <c:pt idx="1">
                  <c:v>7.1205024014944107E-2</c:v>
                </c:pt>
                <c:pt idx="2">
                  <c:v>5.8940428191680057E-2</c:v>
                </c:pt>
                <c:pt idx="3">
                  <c:v>9.8227363397657974E-2</c:v>
                </c:pt>
                <c:pt idx="4">
                  <c:v>7.8573277055914006E-2</c:v>
                </c:pt>
                <c:pt idx="5">
                  <c:v>0.10406814263399129</c:v>
                </c:pt>
                <c:pt idx="6">
                  <c:v>8.4222080204051086E-2</c:v>
                </c:pt>
                <c:pt idx="7">
                  <c:v>0.10592372318084414</c:v>
                </c:pt>
                <c:pt idx="8">
                  <c:v>0.10609769521971936</c:v>
                </c:pt>
                <c:pt idx="9">
                  <c:v>0.10036299051810182</c:v>
                </c:pt>
                <c:pt idx="10">
                  <c:v>9.8374589383223937E-2</c:v>
                </c:pt>
                <c:pt idx="11">
                  <c:v>8.9617504523881591E-2</c:v>
                </c:pt>
                <c:pt idx="12">
                  <c:v>0.10108367564261368</c:v>
                </c:pt>
                <c:pt idx="13">
                  <c:v>0.10178324517160035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FC-4614-A0E3-25B763212C50}"/>
            </c:ext>
          </c:extLst>
        </c:ser>
        <c:ser>
          <c:idx val="4"/>
          <c:order val="0"/>
          <c:tx>
            <c:strRef>
              <c:f>Планирование!$A$49</c:f>
              <c:strCache>
                <c:ptCount val="1"/>
                <c:pt idx="0">
                  <c:v>%П/Д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val>
            <c:numRef>
              <c:f>Планирование!$B$49:$O$49</c:f>
              <c:numCache>
                <c:formatCode>0.0%</c:formatCode>
                <c:ptCount val="14"/>
                <c:pt idx="0">
                  <c:v>-0.24511464335955285</c:v>
                </c:pt>
                <c:pt idx="1">
                  <c:v>-0.30108897751637603</c:v>
                </c:pt>
                <c:pt idx="2">
                  <c:v>-5.665744146265099E-2</c:v>
                </c:pt>
                <c:pt idx="3">
                  <c:v>-1.7367289650846988E-2</c:v>
                </c:pt>
                <c:pt idx="4">
                  <c:v>2.6435291540147409E-2</c:v>
                </c:pt>
                <c:pt idx="5">
                  <c:v>4.5549309132585925E-2</c:v>
                </c:pt>
                <c:pt idx="6">
                  <c:v>1.8489092788280398E-2</c:v>
                </c:pt>
                <c:pt idx="7">
                  <c:v>8.7179572573563596E-2</c:v>
                </c:pt>
                <c:pt idx="8">
                  <c:v>0.12896532862867272</c:v>
                </c:pt>
                <c:pt idx="9">
                  <c:v>9.9813687938310455E-2</c:v>
                </c:pt>
                <c:pt idx="10">
                  <c:v>0.10877634704415934</c:v>
                </c:pt>
                <c:pt idx="11">
                  <c:v>0.13711998935712214</c:v>
                </c:pt>
                <c:pt idx="12">
                  <c:v>3.7267863434778885E-2</c:v>
                </c:pt>
                <c:pt idx="13">
                  <c:v>6.3312303695733763E-2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FC-4614-A0E3-25B763212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5785439"/>
        <c:axId val="1642995743"/>
        <c:extLst>
          <c:ext xmlns:c15="http://schemas.microsoft.com/office/drawing/2012/chart" uri="{02D57815-91ED-43cb-92C2-25804820EDAC}">
            <c15:filteredBarSeries>
              <c15:ser>
                <c:idx val="3"/>
                <c:order val="2"/>
                <c:tx>
                  <c:strRef>
                    <c:extLst>
                      <c:ext uri="{02D57815-91ED-43cb-92C2-25804820EDAC}">
                        <c15:formulaRef>
                          <c15:sqref>Планирование!$A$48</c15:sqref>
                        </c15:formulaRef>
                      </c:ext>
                    </c:extLst>
                    <c:strCache>
                      <c:ptCount val="1"/>
                      <c:pt idx="0">
                        <c:v>%П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Планирование!$B$48:$O$48</c15:sqref>
                        </c15:formulaRef>
                      </c:ext>
                    </c:extLst>
                    <c:numCache>
                      <c:formatCode>0.0%</c:formatCode>
                      <c:ptCount val="14"/>
                      <c:pt idx="0">
                        <c:v>0.14430909629738811</c:v>
                      </c:pt>
                      <c:pt idx="1">
                        <c:v>0.25158681707806435</c:v>
                      </c:pt>
                      <c:pt idx="2">
                        <c:v>4.7069080978581368E-2</c:v>
                      </c:pt>
                      <c:pt idx="3">
                        <c:v>2.6573147639933545E-2</c:v>
                      </c:pt>
                      <c:pt idx="4">
                        <c:v>-2.1257136882862012E-2</c:v>
                      </c:pt>
                      <c:pt idx="5">
                        <c:v>-6.5295578491656667E-2</c:v>
                      </c:pt>
                      <c:pt idx="6">
                        <c:v>-2.8561103883467918E-2</c:v>
                      </c:pt>
                      <c:pt idx="7">
                        <c:v>0.30667549752241829</c:v>
                      </c:pt>
                      <c:pt idx="8">
                        <c:v>1.2800531285077232</c:v>
                      </c:pt>
                      <c:pt idx="9">
                        <c:v>0.256142605083926</c:v>
                      </c:pt>
                      <c:pt idx="10">
                        <c:v>13.226418150098144</c:v>
                      </c:pt>
                      <c:pt idx="11">
                        <c:v>0.2605024446388377</c:v>
                      </c:pt>
                      <c:pt idx="12">
                        <c:v>-4.2471551093098948E-2</c:v>
                      </c:pt>
                      <c:pt idx="13">
                        <c:v>-3.9074755147246384E-2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4-95FC-4614-A0E3-25B763212C50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0"/>
          <c:order val="3"/>
          <c:tx>
            <c:strRef>
              <c:f>Планирование!$A$43</c:f>
              <c:strCache>
                <c:ptCount val="1"/>
                <c:pt idx="0">
                  <c:v>Д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tx1"/>
                </a:solidFill>
              </a:ln>
              <a:effectLst/>
            </c:spPr>
          </c:marker>
          <c:cat>
            <c:numRef>
              <c:f>Планирование!$B$42:$P$42</c:f>
              <c:numCache>
                <c:formatCode>[$-409]mmm\-yy;@</c:formatCode>
                <c:ptCount val="15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  <c:pt idx="13">
                  <c:v>43862</c:v>
                </c:pt>
              </c:numCache>
            </c:numRef>
          </c:cat>
          <c:val>
            <c:numRef>
              <c:f>Планирование!$B$43:$O$43</c:f>
              <c:numCache>
                <c:formatCode>_-* #,##0_-;\-* #,##0_-;_-* "-"??_-;_-@_-</c:formatCode>
                <c:ptCount val="14"/>
                <c:pt idx="0">
                  <c:v>1198120.6502999999</c:v>
                </c:pt>
                <c:pt idx="1">
                  <c:v>1181708.0064999999</c:v>
                </c:pt>
                <c:pt idx="2">
                  <c:v>1110166.4508</c:v>
                </c:pt>
                <c:pt idx="3">
                  <c:v>1550776.4678</c:v>
                </c:pt>
                <c:pt idx="4">
                  <c:v>1108223.1174000001</c:v>
                </c:pt>
                <c:pt idx="5">
                  <c:v>1793207.0970000001</c:v>
                </c:pt>
                <c:pt idx="6">
                  <c:v>1676554.5099999998</c:v>
                </c:pt>
                <c:pt idx="7">
                  <c:v>2177860.7842999999</c:v>
                </c:pt>
                <c:pt idx="8">
                  <c:v>2063783.8729999999</c:v>
                </c:pt>
                <c:pt idx="9">
                  <c:v>1895085.1963</c:v>
                </c:pt>
                <c:pt idx="10">
                  <c:v>1640004.4959</c:v>
                </c:pt>
                <c:pt idx="11">
                  <c:v>2444122.3783</c:v>
                </c:pt>
                <c:pt idx="12">
                  <c:v>1475510.4701999999</c:v>
                </c:pt>
                <c:pt idx="13">
                  <c:v>1262658.8804000001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5FC-4614-A0E3-25B763212C50}"/>
            </c:ext>
          </c:extLst>
        </c:ser>
        <c:ser>
          <c:idx val="6"/>
          <c:order val="4"/>
          <c:tx>
            <c:strRef>
              <c:f>Планирование!$A$44</c:f>
              <c:strCache>
                <c:ptCount val="1"/>
                <c:pt idx="0">
                  <c:v>Р</c:v>
                </c:pt>
              </c:strCache>
            </c:strRef>
          </c:tx>
          <c:spPr>
            <a:ln w="19050" cap="rnd">
              <a:solidFill>
                <a:schemeClr val="accent2">
                  <a:alpha val="70000"/>
                </a:schemeClr>
              </a:solidFill>
              <a:round/>
            </a:ln>
            <a:effectLst/>
          </c:spPr>
          <c:marker>
            <c:symbol val="circle"/>
            <c:size val="3"/>
            <c:spPr>
              <a:solidFill>
                <a:schemeClr val="accent2">
                  <a:alpha val="70000"/>
                </a:schemeClr>
              </a:solidFill>
              <a:ln w="9525">
                <a:noFill/>
              </a:ln>
              <a:effectLst/>
            </c:spPr>
          </c:marker>
          <c:val>
            <c:numRef>
              <c:f>Планирование!$B$44:$O$44</c:f>
              <c:numCache>
                <c:formatCode>_-* #,##0_-;\-* #,##0_-;_-* "-"??_-;_-@_-</c:formatCode>
                <c:ptCount val="14"/>
                <c:pt idx="0">
                  <c:v>1491797.5661999998</c:v>
                </c:pt>
                <c:pt idx="1">
                  <c:v>1537507.2618999998</c:v>
                </c:pt>
                <c:pt idx="2">
                  <c:v>1173065.6414999999</c:v>
                </c:pt>
                <c:pt idx="3">
                  <c:v>1577709.2519</c:v>
                </c:pt>
                <c:pt idx="4">
                  <c:v>1078926.9162000001</c:v>
                </c:pt>
                <c:pt idx="5">
                  <c:v>1711527.7526</c:v>
                </c:pt>
                <c:pt idx="6">
                  <c:v>1645556.5380999998</c:v>
                </c:pt>
                <c:pt idx="7">
                  <c:v>1987995.8119999999</c:v>
                </c:pt>
                <c:pt idx="8">
                  <c:v>1797627.3075999999</c:v>
                </c:pt>
                <c:pt idx="9">
                  <c:v>1705929.7538999999</c:v>
                </c:pt>
                <c:pt idx="10">
                  <c:v>1461610.7977</c:v>
                </c:pt>
                <c:pt idx="11">
                  <c:v>2108984.3437999999</c:v>
                </c:pt>
                <c:pt idx="12">
                  <c:v>1420521.3474999999</c:v>
                </c:pt>
                <c:pt idx="13">
                  <c:v>1182717.0379000001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5FC-4614-A0E3-25B763212C50}"/>
            </c:ext>
          </c:extLst>
        </c:ser>
        <c:ser>
          <c:idx val="1"/>
          <c:order val="5"/>
          <c:tx>
            <c:strRef>
              <c:f>Планирование!$A$45</c:f>
              <c:strCache>
                <c:ptCount val="1"/>
                <c:pt idx="0">
                  <c:v>П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Планирование!$B$45:$O$45</c:f>
              <c:numCache>
                <c:formatCode>_-* #,##0_-;\-* #,##0_-;_-* "-"??_-;_-@_-</c:formatCode>
                <c:ptCount val="14"/>
                <c:pt idx="0">
                  <c:v>-293676.91590000002</c:v>
                </c:pt>
                <c:pt idx="1">
                  <c:v>-355799.25540000002</c:v>
                </c:pt>
                <c:pt idx="2">
                  <c:v>-62899.190700000006</c:v>
                </c:pt>
                <c:pt idx="3">
                  <c:v>-26932.78409999999</c:v>
                </c:pt>
                <c:pt idx="4">
                  <c:v>29296.20120000001</c:v>
                </c:pt>
                <c:pt idx="5">
                  <c:v>81679.344400000002</c:v>
                </c:pt>
                <c:pt idx="6">
                  <c:v>30997.971899999975</c:v>
                </c:pt>
                <c:pt idx="7">
                  <c:v>189864.97229999996</c:v>
                </c:pt>
                <c:pt idx="8">
                  <c:v>266156.56539999996</c:v>
                </c:pt>
                <c:pt idx="9">
                  <c:v>189155.4424</c:v>
                </c:pt>
                <c:pt idx="10">
                  <c:v>178393.69819999998</c:v>
                </c:pt>
                <c:pt idx="11">
                  <c:v>335138.03450000001</c:v>
                </c:pt>
                <c:pt idx="12">
                  <c:v>54989.122699999978</c:v>
                </c:pt>
                <c:pt idx="13">
                  <c:v>79941.842499999984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C-4614-A0E3-25B763212C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947679"/>
        <c:axId val="1643223247"/>
      </c:lineChart>
      <c:valAx>
        <c:axId val="1642995743"/>
        <c:scaling>
          <c:orientation val="minMax"/>
          <c:max val="0.35000000000000003"/>
          <c:min val="-0.35000000000000003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15785439"/>
        <c:crosses val="max"/>
        <c:crossBetween val="between"/>
      </c:valAx>
      <c:dateAx>
        <c:axId val="415785439"/>
        <c:scaling>
          <c:orientation val="minMax"/>
        </c:scaling>
        <c:delete val="1"/>
        <c:axPos val="b"/>
        <c:majorTickMark val="out"/>
        <c:minorTickMark val="none"/>
        <c:tickLblPos val="nextTo"/>
        <c:crossAx val="1642995743"/>
        <c:crosses val="autoZero"/>
        <c:auto val="0"/>
        <c:lblOffset val="100"/>
        <c:baseTimeUnit val="months"/>
      </c:dateAx>
      <c:valAx>
        <c:axId val="1643223247"/>
        <c:scaling>
          <c:orientation val="minMax"/>
        </c:scaling>
        <c:delete val="0"/>
        <c:axPos val="l"/>
        <c:numFmt formatCode="_-* #,##0_-;\-* #,##0_-;_-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947679"/>
        <c:crosses val="autoZero"/>
        <c:crossBetween val="between"/>
      </c:valAx>
      <c:dateAx>
        <c:axId val="1794947679"/>
        <c:scaling>
          <c:orientation val="minMax"/>
        </c:scaling>
        <c:delete val="0"/>
        <c:axPos val="t"/>
        <c:numFmt formatCode="[$-409]mmm\-yy;@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43223247"/>
        <c:crosses val="max"/>
        <c:auto val="0"/>
        <c:lblOffset val="100"/>
        <c:baseTimeUnit val="month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Прогноз</a:t>
            </a:r>
            <a:r>
              <a:rPr lang="ru-RU" baseline="0"/>
              <a:t> доходов в целом по сети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Планирование!$A$101</c:f>
              <c:strCache>
                <c:ptCount val="1"/>
                <c:pt idx="0">
                  <c:v>Доход сети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Планирование!$B$100:$P$100</c:f>
              <c:numCache>
                <c:formatCode>[$-409]mmm\-yy;@</c:formatCode>
                <c:ptCount val="15"/>
                <c:pt idx="0">
                  <c:v>43466</c:v>
                </c:pt>
                <c:pt idx="1">
                  <c:v>43497</c:v>
                </c:pt>
                <c:pt idx="2">
                  <c:v>43525</c:v>
                </c:pt>
                <c:pt idx="3">
                  <c:v>43556</c:v>
                </c:pt>
                <c:pt idx="4">
                  <c:v>43586</c:v>
                </c:pt>
                <c:pt idx="5">
                  <c:v>43617</c:v>
                </c:pt>
                <c:pt idx="6">
                  <c:v>43647</c:v>
                </c:pt>
                <c:pt idx="7">
                  <c:v>43678</c:v>
                </c:pt>
                <c:pt idx="8">
                  <c:v>43709</c:v>
                </c:pt>
                <c:pt idx="9">
                  <c:v>43739</c:v>
                </c:pt>
                <c:pt idx="10">
                  <c:v>43770</c:v>
                </c:pt>
                <c:pt idx="11">
                  <c:v>43800</c:v>
                </c:pt>
                <c:pt idx="12">
                  <c:v>43831</c:v>
                </c:pt>
                <c:pt idx="13">
                  <c:v>43862</c:v>
                </c:pt>
                <c:pt idx="14">
                  <c:v>43891</c:v>
                </c:pt>
              </c:numCache>
            </c:numRef>
          </c:cat>
          <c:val>
            <c:numRef>
              <c:f>Планирование!$B$101:$P$101</c:f>
              <c:numCache>
                <c:formatCode>_-* #,##0_-;\-* #,##0_-;_-* "-"??_-;_-@_-</c:formatCode>
                <c:ptCount val="15"/>
                <c:pt idx="0">
                  <c:v>17730370.283199999</c:v>
                </c:pt>
                <c:pt idx="1">
                  <c:v>16595851.5266</c:v>
                </c:pt>
                <c:pt idx="2">
                  <c:v>18835398.466899998</c:v>
                </c:pt>
                <c:pt idx="3">
                  <c:v>15787621.841399999</c:v>
                </c:pt>
                <c:pt idx="4">
                  <c:v>14104326.037100002</c:v>
                </c:pt>
                <c:pt idx="5">
                  <c:v>17231085.821399998</c:v>
                </c:pt>
                <c:pt idx="6">
                  <c:v>19906353.606299996</c:v>
                </c:pt>
                <c:pt idx="7">
                  <c:v>20560651.749200001</c:v>
                </c:pt>
                <c:pt idx="8">
                  <c:v>19451731.432299994</c:v>
                </c:pt>
                <c:pt idx="9">
                  <c:v>18882310.964600001</c:v>
                </c:pt>
                <c:pt idx="10">
                  <c:v>16671017.4465</c:v>
                </c:pt>
                <c:pt idx="11">
                  <c:v>27272823.4432</c:v>
                </c:pt>
                <c:pt idx="12">
                  <c:v>14596921.42</c:v>
                </c:pt>
                <c:pt idx="13">
                  <c:v>12405370.631199999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7A-4F4E-825F-6CA025050773}"/>
            </c:ext>
          </c:extLst>
        </c:ser>
        <c:ser>
          <c:idx val="2"/>
          <c:order val="1"/>
          <c:tx>
            <c:strRef>
              <c:f>Планирование!$A$104</c:f>
              <c:strCache>
                <c:ptCount val="1"/>
                <c:pt idx="0">
                  <c:v>Forecast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Планирование!$B$104:$P$104</c:f>
              <c:numCache>
                <c:formatCode>_-* #,##0_-;\-* #,##0_-;_-* "-"??_-;_-@_-</c:formatCode>
                <c:ptCount val="15"/>
                <c:pt idx="1">
                  <c:v>17730370.283199999</c:v>
                </c:pt>
                <c:pt idx="2">
                  <c:v>17295584.759655539</c:v>
                </c:pt>
                <c:pt idx="3">
                  <c:v>18371246.794876222</c:v>
                </c:pt>
                <c:pt idx="4">
                  <c:v>16422628.895708416</c:v>
                </c:pt>
                <c:pt idx="5">
                  <c:v>17231085.819971628</c:v>
                </c:pt>
                <c:pt idx="6">
                  <c:v>17176682.210191354</c:v>
                </c:pt>
                <c:pt idx="7">
                  <c:v>18256337.890969329</c:v>
                </c:pt>
                <c:pt idx="8">
                  <c:v>17950481.813801765</c:v>
                </c:pt>
                <c:pt idx="9">
                  <c:v>18272907.606515206</c:v>
                </c:pt>
                <c:pt idx="10">
                  <c:v>18019925.376590513</c:v>
                </c:pt>
                <c:pt idx="11">
                  <c:v>17542237.861208815</c:v>
                </c:pt>
                <c:pt idx="12">
                  <c:v>21824418.62571793</c:v>
                </c:pt>
                <c:pt idx="13">
                  <c:v>14548951.232433863</c:v>
                </c:pt>
                <c:pt idx="14">
                  <c:v>19599633.781350061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7A-4F4E-825F-6CA0250507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4478319"/>
        <c:axId val="1852904751"/>
      </c:lineChart>
      <c:dateAx>
        <c:axId val="1794478319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52904751"/>
        <c:crosses val="autoZero"/>
        <c:auto val="1"/>
        <c:lblOffset val="100"/>
        <c:baseTimeUnit val="months"/>
      </c:dateAx>
      <c:valAx>
        <c:axId val="1852904751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447831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Прибыль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Планирование!$A$157</c:f>
              <c:strCache>
                <c:ptCount val="1"/>
                <c:pt idx="0">
                  <c:v>№1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(Планирование!$B$157:$D$157,Планирование!$F$157)</c:f>
              <c:numCache>
                <c:formatCode>_-* #,##0_-;\-* #,##0_-;_-* "-"??_-;_-@_-</c:formatCode>
                <c:ptCount val="4"/>
                <c:pt idx="0">
                  <c:v>335138.03450000001</c:v>
                </c:pt>
                <c:pt idx="1">
                  <c:v>54989.122699999978</c:v>
                </c:pt>
                <c:pt idx="2">
                  <c:v>79941.842499999984</c:v>
                </c:pt>
                <c:pt idx="3" formatCode="_(* #,##0_);_(* \(#,##0\);_(* &quot;-&quot;??_);_(@_)">
                  <c:v>140248.57599176228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9B-4290-9E43-05D4850A4325}"/>
            </c:ext>
          </c:extLst>
        </c:ser>
        <c:ser>
          <c:idx val="1"/>
          <c:order val="1"/>
          <c:tx>
            <c:strRef>
              <c:f>Планирование!$A$158</c:f>
              <c:strCache>
                <c:ptCount val="1"/>
                <c:pt idx="0">
                  <c:v>№2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(Планирование!$B$158:$D$158,Планирование!$F$158)</c:f>
              <c:numCache>
                <c:formatCode>_-* #,##0_-;\-* #,##0_-;_-* "-"??_-;_-@_-</c:formatCode>
                <c:ptCount val="4"/>
                <c:pt idx="0">
                  <c:v>-90281.696300000011</c:v>
                </c:pt>
                <c:pt idx="1">
                  <c:v>-330103.53240000003</c:v>
                </c:pt>
                <c:pt idx="2">
                  <c:v>-331758.02260000003</c:v>
                </c:pt>
                <c:pt idx="3" formatCode="_(* #,##0_);_(* \(#,##0\);_(* &quot;-&quot;??_);_(@_)">
                  <c:v>-367664.24582465802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9B-4290-9E43-05D4850A4325}"/>
            </c:ext>
          </c:extLst>
        </c:ser>
        <c:ser>
          <c:idx val="2"/>
          <c:order val="2"/>
          <c:tx>
            <c:strRef>
              <c:f>Планирование!$A$159</c:f>
              <c:strCache>
                <c:ptCount val="1"/>
                <c:pt idx="0">
                  <c:v>№3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(Планирование!$B$159:$D$159,Планирование!$F$159)</c:f>
              <c:numCache>
                <c:formatCode>_-* #,##0_-;\-* #,##0_-;_-* "-"??_-;_-@_-</c:formatCode>
                <c:ptCount val="4"/>
                <c:pt idx="0">
                  <c:v>-90321.7307</c:v>
                </c:pt>
                <c:pt idx="1">
                  <c:v>-104295.9675</c:v>
                </c:pt>
                <c:pt idx="2">
                  <c:v>-235099.37390000001</c:v>
                </c:pt>
                <c:pt idx="3" formatCode="_(* #,##0_);_(* \(#,##0\);_(* &quot;-&quot;??_);_(@_)">
                  <c:v>-212982.13214882076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9B-4290-9E43-05D4850A4325}"/>
            </c:ext>
          </c:extLst>
        </c:ser>
        <c:ser>
          <c:idx val="3"/>
          <c:order val="3"/>
          <c:tx>
            <c:strRef>
              <c:f>Планирование!$A$160</c:f>
              <c:strCache>
                <c:ptCount val="1"/>
                <c:pt idx="0">
                  <c:v>№4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(Планирование!$B$160:$D$160,Планирование!$F$160)</c:f>
              <c:numCache>
                <c:formatCode>_-* #,##0_-;\-* #,##0_-;_-* "-"??_-;_-@_-</c:formatCode>
                <c:ptCount val="4"/>
                <c:pt idx="0">
                  <c:v>-15251.785499999998</c:v>
                </c:pt>
                <c:pt idx="1">
                  <c:v>-81305.930800000002</c:v>
                </c:pt>
                <c:pt idx="2">
                  <c:v>-153390.92389999997</c:v>
                </c:pt>
                <c:pt idx="3" formatCode="_(* #,##0_);_(* \(#,##0\);_(* &quot;-&quot;??_);_(@_)">
                  <c:v>-129598.96953913057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9B-4290-9E43-05D4850A4325}"/>
            </c:ext>
          </c:extLst>
        </c:ser>
        <c:ser>
          <c:idx val="4"/>
          <c:order val="4"/>
          <c:tx>
            <c:strRef>
              <c:f>Планирование!$A$161</c:f>
              <c:strCache>
                <c:ptCount val="1"/>
                <c:pt idx="0">
                  <c:v>№5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(Планирование!$B$161:$D$161,Планирование!$F$161)</c:f>
              <c:numCache>
                <c:formatCode>_-* #,##0_-;\-* #,##0_-;_-* "-"??_-;_-@_-</c:formatCode>
                <c:ptCount val="4"/>
                <c:pt idx="0">
                  <c:v>157278.80009999999</c:v>
                </c:pt>
                <c:pt idx="1">
                  <c:v>-76013.514999999999</c:v>
                </c:pt>
                <c:pt idx="2">
                  <c:v>-27111.829099999988</c:v>
                </c:pt>
                <c:pt idx="3" formatCode="_(* #,##0_);_(* \(#,##0\);_(* &quot;-&quot;??_);_(@_)">
                  <c:v>-22519.42059201021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79B-4290-9E43-05D4850A4325}"/>
            </c:ext>
          </c:extLst>
        </c:ser>
        <c:ser>
          <c:idx val="5"/>
          <c:order val="5"/>
          <c:tx>
            <c:strRef>
              <c:f>Планирование!$A$162</c:f>
              <c:strCache>
                <c:ptCount val="1"/>
                <c:pt idx="0">
                  <c:v>№6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(Планирование!$B$162:$D$162,Планирование!$F$162)</c:f>
              <c:numCache>
                <c:formatCode>_-* #,##0_-;\-* #,##0_-;_-* "-"??_-;_-@_-</c:formatCode>
                <c:ptCount val="4"/>
                <c:pt idx="0">
                  <c:v>806961.63089999999</c:v>
                </c:pt>
                <c:pt idx="1">
                  <c:v>-60987.986399999994</c:v>
                </c:pt>
                <c:pt idx="2">
                  <c:v>19811.164999999979</c:v>
                </c:pt>
                <c:pt idx="3" formatCode="_(* #,##0_);_(* \(#,##0\);_(* &quot;-&quot;??_);_(@_)">
                  <c:v>100260.85319067046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79B-4290-9E43-05D4850A4325}"/>
            </c:ext>
          </c:extLst>
        </c:ser>
        <c:ser>
          <c:idx val="6"/>
          <c:order val="6"/>
          <c:tx>
            <c:strRef>
              <c:f>Планирование!$A$163</c:f>
              <c:strCache>
                <c:ptCount val="1"/>
                <c:pt idx="0">
                  <c:v>№7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(Планирование!$B$163:$D$163,Планирование!$F$163)</c:f>
              <c:numCache>
                <c:formatCode>_-* #,##0_-;\-* #,##0_-;_-* "-"??_-;_-@_-</c:formatCode>
                <c:ptCount val="4"/>
                <c:pt idx="0">
                  <c:v>-74636.54720000003</c:v>
                </c:pt>
                <c:pt idx="1">
                  <c:v>-218517.43090000001</c:v>
                </c:pt>
                <c:pt idx="2">
                  <c:v>-498674.22989999992</c:v>
                </c:pt>
                <c:pt idx="3" formatCode="_(* #,##0_);_(* \(#,##0\);_(* &quot;-&quot;??_);_(@_)">
                  <c:v>-462004.47165789822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79B-4290-9E43-05D4850A4325}"/>
            </c:ext>
          </c:extLst>
        </c:ser>
        <c:ser>
          <c:idx val="7"/>
          <c:order val="7"/>
          <c:tx>
            <c:strRef>
              <c:f>Планирование!$A$164</c:f>
              <c:strCache>
                <c:ptCount val="1"/>
                <c:pt idx="0">
                  <c:v>№8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(Планирование!$B$164:$D$164,Планирование!$F$164)</c:f>
              <c:numCache>
                <c:formatCode>_-* #,##0_-;\-* #,##0_-;_-* "-"??_-;_-@_-</c:formatCode>
                <c:ptCount val="4"/>
                <c:pt idx="0">
                  <c:v>168791.48819999999</c:v>
                </c:pt>
                <c:pt idx="1">
                  <c:v>-157244.58089999997</c:v>
                </c:pt>
                <c:pt idx="2">
                  <c:v>-147296.0442</c:v>
                </c:pt>
                <c:pt idx="3" formatCode="_(* #,##0_);_(* \(#,##0\);_(* &quot;-&quot;??_);_(@_)">
                  <c:v>-159851.87181406605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79B-4290-9E43-05D4850A4325}"/>
            </c:ext>
          </c:extLst>
        </c:ser>
        <c:ser>
          <c:idx val="8"/>
          <c:order val="8"/>
          <c:tx>
            <c:strRef>
              <c:f>Планирование!$A$165</c:f>
              <c:strCache>
                <c:ptCount val="1"/>
                <c:pt idx="0">
                  <c:v>№9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(Планирование!$B$165:$D$165,Планирование!$F$165)</c:f>
              <c:numCache>
                <c:formatCode>_-* #,##0_-;\-* #,##0_-;_-* "-"??_-;_-@_-</c:formatCode>
                <c:ptCount val="4"/>
                <c:pt idx="0">
                  <c:v>61454.839800000002</c:v>
                </c:pt>
                <c:pt idx="1">
                  <c:v>-160488.12079999998</c:v>
                </c:pt>
                <c:pt idx="2">
                  <c:v>-291849.02600000001</c:v>
                </c:pt>
                <c:pt idx="3" formatCode="_(* #,##0_);_(* \(#,##0\);_(* &quot;-&quot;??_);_(@_)">
                  <c:v>-254619.69941400454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79B-4290-9E43-05D4850A4325}"/>
            </c:ext>
          </c:extLst>
        </c:ser>
        <c:ser>
          <c:idx val="9"/>
          <c:order val="9"/>
          <c:tx>
            <c:strRef>
              <c:f>Планирование!$A$166</c:f>
              <c:strCache>
                <c:ptCount val="1"/>
                <c:pt idx="0">
                  <c:v>№10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(Планирование!$B$156:$D$156,Планирование!$F$156)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(Планирование!$B$166:$D$166,Планирование!$F$166)</c:f>
              <c:numCache>
                <c:formatCode>_-* #,##0_-;\-* #,##0_-;_-* "-"??_-;_-@_-</c:formatCode>
                <c:ptCount val="4"/>
                <c:pt idx="0">
                  <c:v>27373.25970000001</c:v>
                </c:pt>
                <c:pt idx="1">
                  <c:v>-160760.4417</c:v>
                </c:pt>
                <c:pt idx="2">
                  <c:v>-460442.87169999996</c:v>
                </c:pt>
                <c:pt idx="3" formatCode="_(* #,##0_);_(* \(#,##0\);_(* &quot;-&quot;??_);_(@_)">
                  <c:v>-429447.46176225366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79B-4290-9E43-05D4850A4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55485695"/>
        <c:axId val="1795702847"/>
      </c:lineChart>
      <c:dateAx>
        <c:axId val="1855485695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95702847"/>
        <c:crosses val="autoZero"/>
        <c:auto val="1"/>
        <c:lblOffset val="100"/>
        <c:baseTimeUnit val="months"/>
      </c:dateAx>
      <c:valAx>
        <c:axId val="1795702847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55485695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Доходы</a:t>
            </a:r>
            <a:endParaRPr lang="en-US"/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Планирование!$A$141</c:f>
              <c:strCache>
                <c:ptCount val="1"/>
                <c:pt idx="0">
                  <c:v>№1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(Планирование!$B$141:$D$141,Планирование!$F$141)</c:f>
              <c:numCache>
                <c:formatCode>_-* #,##0_-;\-* #,##0_-;_-* "-"??_-;_-@_-</c:formatCode>
                <c:ptCount val="4"/>
                <c:pt idx="0">
                  <c:v>2444122.3783</c:v>
                </c:pt>
                <c:pt idx="1">
                  <c:v>1475510.4701999999</c:v>
                </c:pt>
                <c:pt idx="2">
                  <c:v>1262658.8804000001</c:v>
                </c:pt>
                <c:pt idx="3" formatCode="_(* #,##0_);_(* \(#,##0\);_(* &quot;-&quot;??_);_(@_)">
                  <c:v>1930504.3577967349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48-47BC-A7B4-D7386E267826}"/>
            </c:ext>
          </c:extLst>
        </c:ser>
        <c:ser>
          <c:idx val="1"/>
          <c:order val="1"/>
          <c:tx>
            <c:strRef>
              <c:f>Планирование!$A$142</c:f>
              <c:strCache>
                <c:ptCount val="1"/>
                <c:pt idx="0">
                  <c:v>№2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(Планирование!$B$142:$D$142,Планирование!$F$142)</c:f>
              <c:numCache>
                <c:formatCode>_-* #,##0_-;\-* #,##0_-;_-* "-"??_-;_-@_-</c:formatCode>
                <c:ptCount val="4"/>
                <c:pt idx="0">
                  <c:v>2068502.9233000001</c:v>
                </c:pt>
                <c:pt idx="1">
                  <c:v>1334757.3533999999</c:v>
                </c:pt>
                <c:pt idx="2">
                  <c:v>1141669.1313</c:v>
                </c:pt>
                <c:pt idx="3" formatCode="_(* #,##0_);_(* \(#,##0\);_(* &quot;-&quot;??_);_(@_)">
                  <c:v>1720409.9670899918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48-47BC-A7B4-D7386E267826}"/>
            </c:ext>
          </c:extLst>
        </c:ser>
        <c:ser>
          <c:idx val="2"/>
          <c:order val="2"/>
          <c:tx>
            <c:strRef>
              <c:f>Планирование!$A$143</c:f>
              <c:strCache>
                <c:ptCount val="1"/>
                <c:pt idx="0">
                  <c:v>№3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(Планирование!$B$143:$D$143,Планирование!$F$143)</c:f>
              <c:numCache>
                <c:formatCode>_-* #,##0_-;\-* #,##0_-;_-* "-"??_-;_-@_-</c:formatCode>
                <c:ptCount val="4"/>
                <c:pt idx="0">
                  <c:v>2188432.3800999997</c:v>
                </c:pt>
                <c:pt idx="1">
                  <c:v>1038844.4796</c:v>
                </c:pt>
                <c:pt idx="2">
                  <c:v>967115.24090000009</c:v>
                </c:pt>
                <c:pt idx="3" formatCode="_(* #,##0_);_(* \(#,##0\);_(* &quot;-&quot;??_);_(@_)">
                  <c:v>1492578.3094974961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48-47BC-A7B4-D7386E267826}"/>
            </c:ext>
          </c:extLst>
        </c:ser>
        <c:ser>
          <c:idx val="3"/>
          <c:order val="3"/>
          <c:tx>
            <c:strRef>
              <c:f>Планирование!$A$144</c:f>
              <c:strCache>
                <c:ptCount val="1"/>
                <c:pt idx="0">
                  <c:v>№4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(Планирование!$B$144:$D$144,Планирование!$F$144)</c:f>
              <c:numCache>
                <c:formatCode>_-* #,##0_-;\-* #,##0_-;_-* "-"??_-;_-@_-</c:formatCode>
                <c:ptCount val="4"/>
                <c:pt idx="0">
                  <c:v>4352622.6902000001</c:v>
                </c:pt>
                <c:pt idx="1">
                  <c:v>2251199.2409999999</c:v>
                </c:pt>
                <c:pt idx="2">
                  <c:v>2561652.6517000003</c:v>
                </c:pt>
                <c:pt idx="3" formatCode="_(* #,##0_);_(* \(#,##0\);_(* &quot;-&quot;??_);_(@_)">
                  <c:v>3458856.5370542468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48-47BC-A7B4-D7386E267826}"/>
            </c:ext>
          </c:extLst>
        </c:ser>
        <c:ser>
          <c:idx val="4"/>
          <c:order val="4"/>
          <c:tx>
            <c:strRef>
              <c:f>Планирование!$A$145</c:f>
              <c:strCache>
                <c:ptCount val="1"/>
                <c:pt idx="0">
                  <c:v>№5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/>
              </c:spPr>
            </c:marker>
            <c:bubble3D val="0"/>
            <c:spPr>
              <a:ln w="9525" cap="rnd">
                <a:solidFill>
                  <a:schemeClr val="accent5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6C48-47BC-A7B4-D7386E267826}"/>
              </c:ext>
            </c:extLst>
          </c:dPt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(Планирование!$B$145:$D$145,Планирование!$F$145)</c:f>
              <c:numCache>
                <c:formatCode>_-* #,##0_-;\-* #,##0_-;_-* "-"??_-;_-@_-</c:formatCode>
                <c:ptCount val="4"/>
                <c:pt idx="0">
                  <c:v>2514612.2550000004</c:v>
                </c:pt>
                <c:pt idx="1">
                  <c:v>1367980.1218999999</c:v>
                </c:pt>
                <c:pt idx="2">
                  <c:v>1512139.0555999998</c:v>
                </c:pt>
                <c:pt idx="3" formatCode="_(* #,##0_);_(* \(#,##0\);_(* &quot;-&quot;??_);_(@_)">
                  <c:v>2050299.1309606289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C48-47BC-A7B4-D7386E267826}"/>
            </c:ext>
          </c:extLst>
        </c:ser>
        <c:ser>
          <c:idx val="5"/>
          <c:order val="5"/>
          <c:tx>
            <c:strRef>
              <c:f>Планирование!$A$146</c:f>
              <c:strCache>
                <c:ptCount val="1"/>
                <c:pt idx="0">
                  <c:v>№6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(Планирование!$B$146:$D$146,Планирование!$F$146)</c:f>
              <c:numCache>
                <c:formatCode>_-* #,##0_-;\-* #,##0_-;_-* "-"??_-;_-@_-</c:formatCode>
                <c:ptCount val="4"/>
                <c:pt idx="0">
                  <c:v>5220497.3695</c:v>
                </c:pt>
                <c:pt idx="1">
                  <c:v>2121539.8054</c:v>
                </c:pt>
                <c:pt idx="2">
                  <c:v>1717156.8119999999</c:v>
                </c:pt>
                <c:pt idx="3" formatCode="_(* #,##0_);_(* \(#,##0\);_(* &quot;-&quot;??_);_(@_)">
                  <c:v>3020149.1652678037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C48-47BC-A7B4-D7386E267826}"/>
            </c:ext>
          </c:extLst>
        </c:ser>
        <c:ser>
          <c:idx val="6"/>
          <c:order val="6"/>
          <c:tx>
            <c:strRef>
              <c:f>Планирование!$A$147</c:f>
              <c:strCache>
                <c:ptCount val="1"/>
                <c:pt idx="0">
                  <c:v>№7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(Планирование!$B$147:$D$147,Планирование!$F$147)</c:f>
              <c:numCache>
                <c:formatCode>_-* #,##0_-;\-* #,##0_-;_-* "-"??_-;_-@_-</c:formatCode>
                <c:ptCount val="4"/>
                <c:pt idx="0">
                  <c:v>3584954.1248000003</c:v>
                </c:pt>
                <c:pt idx="1">
                  <c:v>2133345.3788000001</c:v>
                </c:pt>
                <c:pt idx="2">
                  <c:v>1418613.1000999999</c:v>
                </c:pt>
                <c:pt idx="3" formatCode="_(* #,##0_);_(* \(#,##0\);_(* &quot;-&quot;??_);_(@_)">
                  <c:v>2543179.7314234087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C48-47BC-A7B4-D7386E267826}"/>
            </c:ext>
          </c:extLst>
        </c:ser>
        <c:ser>
          <c:idx val="7"/>
          <c:order val="7"/>
          <c:tx>
            <c:strRef>
              <c:f>Планирование!$A$148</c:f>
              <c:strCache>
                <c:ptCount val="1"/>
                <c:pt idx="0">
                  <c:v>№8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(Планирование!$B$148:$D$148,Планирование!$F$148)</c:f>
              <c:numCache>
                <c:formatCode>_-* #,##0_-;\-* #,##0_-;_-* "-"??_-;_-@_-</c:formatCode>
                <c:ptCount val="4"/>
                <c:pt idx="0">
                  <c:v>2180447.7897999999</c:v>
                </c:pt>
                <c:pt idx="1">
                  <c:v>882188.60840000003</c:v>
                </c:pt>
                <c:pt idx="2">
                  <c:v>685875.64289999998</c:v>
                </c:pt>
                <c:pt idx="3" formatCode="_(* #,##0_);_(* \(#,##0\);_(* &quot;-&quot;??_);_(@_)">
                  <c:v>1239787.1269635058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C48-47BC-A7B4-D7386E267826}"/>
            </c:ext>
          </c:extLst>
        </c:ser>
        <c:ser>
          <c:idx val="8"/>
          <c:order val="8"/>
          <c:tx>
            <c:strRef>
              <c:f>Планирование!$A$149</c:f>
              <c:strCache>
                <c:ptCount val="1"/>
                <c:pt idx="0">
                  <c:v>№9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(Планирование!$B$149:$D$149,Планирование!$F$149)</c:f>
              <c:numCache>
                <c:formatCode>_-* #,##0_-;\-* #,##0_-;_-* "-"??_-;_-@_-</c:formatCode>
                <c:ptCount val="4"/>
                <c:pt idx="0">
                  <c:v>1163225.5533</c:v>
                </c:pt>
                <c:pt idx="1">
                  <c:v>626432.12479999999</c:v>
                </c:pt>
                <c:pt idx="2">
                  <c:v>496468.93450000003</c:v>
                </c:pt>
                <c:pt idx="3" formatCode="_(* #,##0_);_(* \(#,##0\);_(* &quot;-&quot;??_);_(@_)">
                  <c:v>817136.80924258463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C48-47BC-A7B4-D7386E267826}"/>
            </c:ext>
          </c:extLst>
        </c:ser>
        <c:ser>
          <c:idx val="9"/>
          <c:order val="9"/>
          <c:tx>
            <c:strRef>
              <c:f>Планирование!$A$150</c:f>
              <c:strCache>
                <c:ptCount val="1"/>
                <c:pt idx="0">
                  <c:v>№10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(Планирование!$B$140:$D$140,Планирование!$F$140)</c:f>
              <c:numCache>
                <c:formatCode>[$-409]mmm\-yy;@</c:formatCode>
                <c:ptCount val="4"/>
                <c:pt idx="0">
                  <c:v>43800</c:v>
                </c:pt>
                <c:pt idx="1">
                  <c:v>43831</c:v>
                </c:pt>
                <c:pt idx="2">
                  <c:v>43862</c:v>
                </c:pt>
                <c:pt idx="3">
                  <c:v>43891</c:v>
                </c:pt>
              </c:numCache>
            </c:numRef>
          </c:cat>
          <c:val>
            <c:numRef>
              <c:f>(Планирование!$B$150:$D$150,Планирование!$F$150)</c:f>
              <c:numCache>
                <c:formatCode>_-* #,##0_-;\-* #,##0_-;_-* "-"??_-;_-@_-</c:formatCode>
                <c:ptCount val="4"/>
                <c:pt idx="0">
                  <c:v>1555405.9789</c:v>
                </c:pt>
                <c:pt idx="1">
                  <c:v>1365123.8365</c:v>
                </c:pt>
                <c:pt idx="2">
                  <c:v>642021.18180000002</c:v>
                </c:pt>
                <c:pt idx="3" formatCode="_(* #,##0_);_(* \(#,##0\);_(* &quot;-&quot;??_);_(@_)">
                  <c:v>1326732.6460536616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C48-47BC-A7B4-D7386E267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6025295"/>
        <c:axId val="1861875199"/>
      </c:lineChart>
      <c:dateAx>
        <c:axId val="2036025295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61875199"/>
        <c:crosses val="autoZero"/>
        <c:auto val="1"/>
        <c:lblOffset val="100"/>
        <c:baseTimeUnit val="months"/>
      </c:dateAx>
      <c:valAx>
        <c:axId val="1861875199"/>
        <c:scaling>
          <c:orientation val="minMax"/>
        </c:scaling>
        <c:delete val="0"/>
        <c:axPos val="l"/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36025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428625</xdr:colOff>
      <xdr:row>1</xdr:row>
      <xdr:rowOff>52154</xdr:rowOff>
    </xdr:from>
    <xdr:to>
      <xdr:col>15</xdr:col>
      <xdr:colOff>543875</xdr:colOff>
      <xdr:row>5</xdr:row>
      <xdr:rowOff>141572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43825" y="252179"/>
          <a:ext cx="1944050" cy="956193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9</xdr:row>
      <xdr:rowOff>0</xdr:rowOff>
    </xdr:from>
    <xdr:to>
      <xdr:col>13</xdr:col>
      <xdr:colOff>447675</xdr:colOff>
      <xdr:row>14</xdr:row>
      <xdr:rowOff>95250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105525" y="1838325"/>
          <a:ext cx="2266950" cy="10477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ru-RU" sz="1100"/>
            <a:t>Запуск</a:t>
          </a:r>
          <a:r>
            <a:rPr lang="ru-RU" sz="1100" baseline="0"/>
            <a:t> макроса реализован по двойному клику по любой ячейке на листе.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104774</xdr:colOff>
      <xdr:row>1</xdr:row>
      <xdr:rowOff>47625</xdr:rowOff>
    </xdr:from>
    <xdr:to>
      <xdr:col>15</xdr:col>
      <xdr:colOff>546083</xdr:colOff>
      <xdr:row>10</xdr:row>
      <xdr:rowOff>138801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0374" y="247650"/>
          <a:ext cx="2879709" cy="1805676"/>
        </a:xfrm>
        <a:prstGeom prst="rect">
          <a:avLst/>
        </a:prstGeom>
      </xdr:spPr>
    </xdr:pic>
    <xdr:clientData/>
  </xdr:twoCellAnchor>
  <xdr:twoCellAnchor>
    <xdr:from>
      <xdr:col>2</xdr:col>
      <xdr:colOff>161925</xdr:colOff>
      <xdr:row>15</xdr:row>
      <xdr:rowOff>161925</xdr:rowOff>
    </xdr:from>
    <xdr:to>
      <xdr:col>9</xdr:col>
      <xdr:colOff>466725</xdr:colOff>
      <xdr:row>23</xdr:row>
      <xdr:rowOff>152400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161925</xdr:colOff>
      <xdr:row>24</xdr:row>
      <xdr:rowOff>95250</xdr:rowOff>
    </xdr:from>
    <xdr:to>
      <xdr:col>9</xdr:col>
      <xdr:colOff>466725</xdr:colOff>
      <xdr:row>32</xdr:row>
      <xdr:rowOff>85725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16</xdr:row>
          <xdr:rowOff>9525</xdr:rowOff>
        </xdr:from>
        <xdr:to>
          <xdr:col>12</xdr:col>
          <xdr:colOff>590550</xdr:colOff>
          <xdr:row>18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Стрелка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542925</xdr:colOff>
      <xdr:row>18</xdr:row>
      <xdr:rowOff>66675</xdr:rowOff>
    </xdr:from>
    <xdr:to>
      <xdr:col>13</xdr:col>
      <xdr:colOff>85725</xdr:colOff>
      <xdr:row>20</xdr:row>
      <xdr:rowOff>123824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6638925" y="3514725"/>
          <a:ext cx="1371600" cy="438149"/>
        </a:xfrm>
        <a:prstGeom prst="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Нужно нажать кнопку выше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22</xdr:row>
      <xdr:rowOff>0</xdr:rowOff>
    </xdr:from>
    <xdr:to>
      <xdr:col>13</xdr:col>
      <xdr:colOff>895350</xdr:colOff>
      <xdr:row>36</xdr:row>
      <xdr:rowOff>171450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6229350" y="4229100"/>
          <a:ext cx="2724150" cy="283845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 столбце слева</a:t>
          </a:r>
          <a:r>
            <a:rPr lang="ru-RU" sz="1100" baseline="0"/>
            <a:t> формируется список всех комбинаций год-статья, для которых не представлены одновременно все 3 бизнеса. В данном случае такой кейс всего один.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638175</xdr:colOff>
      <xdr:row>25</xdr:row>
      <xdr:rowOff>71437</xdr:rowOff>
    </xdr:from>
    <xdr:to>
      <xdr:col>15</xdr:col>
      <xdr:colOff>409575</xdr:colOff>
      <xdr:row>39</xdr:row>
      <xdr:rowOff>180975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9525</xdr:colOff>
      <xdr:row>16</xdr:row>
      <xdr:rowOff>9525</xdr:rowOff>
    </xdr:from>
    <xdr:ext cx="10158615" cy="1476375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9525" y="3105150"/>
          <a:ext cx="10158615" cy="1476375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Этап</a:t>
          </a:r>
          <a:r>
            <a:rPr lang="ru-RU" sz="1100" b="1" baseline="0"/>
            <a:t> </a:t>
          </a:r>
          <a:r>
            <a:rPr lang="ru-RU" sz="1100" b="1"/>
            <a:t>1</a:t>
          </a:r>
        </a:p>
        <a:p>
          <a:r>
            <a:rPr lang="ru-RU" sz="1100"/>
            <a:t>Перед</a:t>
          </a:r>
          <a:r>
            <a:rPr lang="ru-RU" sz="1100" baseline="0"/>
            <a:t> тем как выбрать модель для прогноза продаж, предлагаю посмотреть на тренды по магазинам и в сумме по сети.</a:t>
          </a:r>
        </a:p>
        <a:p>
          <a:r>
            <a:rPr lang="ru-RU" sz="1100" baseline="0"/>
            <a:t>Сделаем это самым простым и быстрым способом: </a:t>
          </a:r>
        </a:p>
        <a:p>
          <a:r>
            <a:rPr lang="ru-RU" sz="1100" baseline="0"/>
            <a:t>- Добавим сумму доходов и прибыли в исходную таблицу</a:t>
          </a:r>
          <a:r>
            <a:rPr lang="en-US" sz="1100" baseline="0"/>
            <a:t>;</a:t>
          </a:r>
          <a:endParaRPr lang="ru-RU" sz="1100" b="0" i="0" u="none" strike="noStrike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/>
            <a:t>- Ниже</a:t>
          </a:r>
          <a:r>
            <a:rPr lang="ru-RU" sz="1100" baseline="0"/>
            <a:t> построим таблицу, с которой будем брать данные для графика, чтобы было удобнее анализировать</a:t>
          </a:r>
          <a:r>
            <a:rPr lang="en-US" sz="1100" baseline="0"/>
            <a:t>;</a:t>
          </a:r>
          <a:endParaRPr lang="ru-RU" sz="1100" baseline="0"/>
        </a:p>
        <a:p>
          <a:r>
            <a:rPr lang="ru-RU" sz="1100" baseline="0"/>
            <a:t>- Сделаем выпадающий список магазинов в ячейке </a:t>
          </a:r>
          <a:r>
            <a:rPr lang="en-US" sz="1100" b="1" baseline="0"/>
            <a:t>B2</a:t>
          </a:r>
          <a:r>
            <a:rPr lang="ru-RU" sz="1100" b="1" baseline="0"/>
            <a:t>5</a:t>
          </a:r>
          <a:r>
            <a:rPr lang="ru-RU" sz="1100" baseline="0"/>
            <a:t>. Залинкуем эту ячейку в формулы</a:t>
          </a:r>
          <a:r>
            <a:rPr lang="en-US" sz="1100" baseline="0"/>
            <a:t> </a:t>
          </a:r>
          <a:r>
            <a:rPr lang="ru-RU" sz="1100" baseline="0"/>
            <a:t>таблицы, чтобы при смене позиции в ячейке пересчитывались показатели</a:t>
          </a:r>
          <a:r>
            <a:rPr lang="en-US" sz="1100" baseline="0"/>
            <a:t>;</a:t>
          </a:r>
          <a:endParaRPr lang="ru-RU" sz="1100" baseline="0"/>
        </a:p>
        <a:p>
          <a:r>
            <a:rPr lang="ru-RU" sz="1100" baseline="0"/>
            <a:t>- В таблицу добавим расход (Р). Будем считать это расходом на оплату труда, т.к. нет уточнения с какими статьями мы здесь работаем</a:t>
          </a:r>
          <a:r>
            <a:rPr lang="en-US" sz="1100" baseline="0"/>
            <a:t>;</a:t>
          </a:r>
          <a:endParaRPr lang="ru-RU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100" baseline="0"/>
            <a:t>- Также добавим </a:t>
          </a:r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долю дохода (%Д), расхода (%Р) и прибыли (%П) от общей суммы по сети и </a:t>
          </a:r>
          <a:r>
            <a:rPr lang="ru-RU" sz="1100" baseline="0"/>
            <a:t>отношение прибыли к доходу (%П</a:t>
          </a:r>
          <a:r>
            <a:rPr lang="en-US" sz="1100" baseline="0"/>
            <a:t>/</a:t>
          </a:r>
          <a:r>
            <a:rPr lang="ru-RU" sz="1100" baseline="0"/>
            <a:t>Д)</a:t>
          </a:r>
        </a:p>
      </xdr:txBody>
    </xdr:sp>
    <xdr:clientData/>
  </xdr:oneCellAnchor>
  <xdr:oneCellAnchor>
    <xdr:from>
      <xdr:col>0</xdr:col>
      <xdr:colOff>0</xdr:colOff>
      <xdr:row>49</xdr:row>
      <xdr:rowOff>190499</xdr:rowOff>
    </xdr:from>
    <xdr:ext cx="10158615" cy="8162925"/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0" y="9801224"/>
          <a:ext cx="10158615" cy="8162925"/>
        </a:xfrm>
        <a:prstGeom prst="rect">
          <a:avLst/>
        </a:prstGeom>
        <a:solidFill>
          <a:sysClr val="window" lastClr="FFFFFF"/>
        </a:solidFill>
        <a:ln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ru-RU" sz="1100" b="1"/>
            <a:t>Этап 2</a:t>
          </a:r>
        </a:p>
        <a:p>
          <a:r>
            <a:rPr lang="ru-RU" sz="1100" baseline="0"/>
            <a:t>Проанализировав тренды по магазинам и в сумме по сети, можно сделать следующие выводы:</a:t>
          </a:r>
        </a:p>
        <a:p>
          <a:r>
            <a:rPr lang="ru-RU" sz="1100" baseline="0"/>
            <a:t>1. В целом, сеть убыточна. Есть как убыточные, так и прибыльные магазины</a:t>
          </a:r>
        </a:p>
        <a:p>
          <a:r>
            <a:rPr lang="ru-RU" sz="1100" baseline="0"/>
            <a:t>2. В среднем, наблюдается рост доходов. Разрыв между прибылью и доходом сокращался какое-то время (согласно </a:t>
          </a:r>
          <a:r>
            <a:rPr lang="en-US" sz="1100" baseline="0"/>
            <a:t>%</a:t>
          </a:r>
          <a:r>
            <a:rPr lang="ru-RU" sz="1100" baseline="0"/>
            <a:t>П/Д) с выходом прибыли в плюс в августе 2019.</a:t>
          </a:r>
        </a:p>
        <a:p>
          <a:r>
            <a:rPr lang="ru-RU" sz="1100" baseline="0"/>
            <a:t>В январе-феврале 2020 прибыль ушла снова в минус.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Расчетное значение расходов визуально сильно коррелирует с доходами, можно судить о сильной взаимной зависимости. </a:t>
          </a:r>
          <a:endParaRPr lang="ru-RU" sz="1100" baseline="0"/>
        </a:p>
        <a:p>
          <a:r>
            <a:rPr lang="ru-RU" sz="1100" baseline="0"/>
            <a:t>4. Не имея большего количества данных и описания специфики магазином, судить о конкретной сезонности сложно.</a:t>
          </a:r>
        </a:p>
        <a:p>
          <a:r>
            <a:rPr lang="ru-RU" sz="1100" baseline="0"/>
            <a:t>5. Видно, что доля магазина по доходу от общей суммы сети, в среднем находится примерно на одном уровне. Какие-то магазины растят долю, другие - теряют в ней.</a:t>
          </a:r>
        </a:p>
        <a:p>
          <a:r>
            <a:rPr lang="ru-RU" sz="1100" baseline="0"/>
            <a:t>6. Есть магазины (напр. магазины 1 или 6), которые показывают большую эффективность (показатель %П/Д).</a:t>
          </a:r>
        </a:p>
        <a:p>
          <a:endParaRPr lang="en-US" sz="1100" baseline="0"/>
        </a:p>
        <a:p>
          <a:r>
            <a:rPr lang="ru-RU" sz="1100" b="1" baseline="0"/>
            <a:t>Предпосылки к выбору модели: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 Так как выборка данных в задаче маленькая, и в данных присутствуют не вычищенные возмущения декабря19-февраля20, сложно рассчитывать на высокую точность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прогнозирования.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Задача состоит в оценке дохода и прибыли магазинов на следующий период. Для простоты, предлагаю считать прогноз доходов не по каждому магазину, а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 общем по сети. Затем можно будет разбить его по средним доходам магазинов за последние 3 месяца. Судя по данным, это даст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достаточную точность. Также в таком подходе мы получим более аккуратый прогноз на всю сеть: аггрегация сглаживает разные факторы перекоса,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например, каннибализацию между магазинами. Будем надеяться, что хотя бы в тотале прогноз будет адекватный.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3. В формировании прибыли, в целом, задействовано больше факторов, чем в доходах. Здесь вполне можно исходить из спрогнозированного дохода магазина и</a:t>
          </a:r>
        </a:p>
        <a:p>
          <a:r>
            <a:rPr lang="ru-RU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динамики его показателя %П/Д за последние несколько периодов. Предлагаю использовать такой метод рассчета.</a:t>
          </a:r>
        </a:p>
        <a:p>
          <a:endParaRPr lang="ru-RU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Описание модели:</a:t>
          </a:r>
        </a:p>
        <a:p>
          <a:r>
            <a:rPr lang="ru-RU" sz="1100" b="0" i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Шаг 1. </a:t>
          </a:r>
          <a:r>
            <a:rPr lang="ru-RU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Считаем тотал прогноз дохода сети: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 Сглаживаем ряд и находим тренд по методу Хольта:</a:t>
          </a:r>
        </a:p>
        <a:p>
          <a:r>
            <a:rPr lang="en-US"/>
            <a:t>L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(t)=k*Y(t)+(1-k)*(</a:t>
          </a:r>
          <a:r>
            <a:rPr lang="en-US"/>
            <a:t>L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(t-1)-T(t-1))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где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 - 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период,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/>
            <a:t>L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- 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сглаженный ряд,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 - 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исходный ряд,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 - 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тренд,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 - 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коэффициент сглаживания ряда.</a:t>
          </a:r>
        </a:p>
        <a:p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T(t) = b*(</a:t>
          </a:r>
          <a:r>
            <a:rPr lang="en-US"/>
            <a:t>L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(t) - </a:t>
          </a:r>
          <a:r>
            <a:rPr lang="en-US"/>
            <a:t>L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(t-1)) + (1-b)*T(t-1)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US"/>
            <a:t> </a:t>
          </a:r>
          <a:r>
            <a:rPr lang="ru-RU"/>
            <a:t>где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 - 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коэффициент сглаживания тренда.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Считаем прогноз:</a:t>
          </a:r>
        </a:p>
        <a:p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Y'(t) = L(t-1) + p*T(t-1)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где</a:t>
          </a:r>
          <a:endParaRPr lang="en-US" sz="1100" b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	p -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номер периода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относительно периода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, на который делаем прогноз.</a:t>
          </a:r>
        </a:p>
        <a:p>
          <a:endParaRPr lang="ru-RU" sz="1100" b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="0" i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Шаг 2. </a:t>
          </a:r>
          <a:r>
            <a:rPr lang="ru-RU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Проверим точность против наивного прогноза: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Проверим </a:t>
          </a:r>
          <a:r>
            <a:rPr lang="en-US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MAPE </a:t>
          </a:r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полученной аппроксимации против 2х наивных прогнозов: значение предыдущего периода и среднее за несколько периодов. 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Выберем тот вариант, который дает меньшую ошибку.</a:t>
          </a:r>
        </a:p>
        <a:p>
          <a:endParaRPr lang="ru-RU" sz="1100" b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="0" i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Шаг 3. </a:t>
          </a:r>
          <a:r>
            <a:rPr lang="ru-RU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Декомпозируем прогноз дохода сети на магазины: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 Считаем среднюю долю дохода магазина за последние 3 месяца. Возьмем взвешенные коэффициенты, например 25-35-40. Таким образом, мы приоритизируем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значение в последнем периоде. При этом, в случае наличия тренда на рост или падение, он будет сглажен. 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Умножаем значение прогноза дохода по сети на полученную долю.</a:t>
          </a:r>
        </a:p>
        <a:p>
          <a:endParaRPr lang="ru-RU" sz="1100" b="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r>
            <a:rPr lang="ru-RU" sz="1100" b="0" i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Шаг 4. </a:t>
          </a:r>
          <a:r>
            <a:rPr lang="ru-RU" sz="1100" b="0" i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Находим прибыль магазинов: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1. Аналогично пункту 1 предыдущего шага считаем средний показатель %П/Д.</a:t>
          </a:r>
        </a:p>
        <a:p>
          <a:r>
            <a:rPr lang="ru-RU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2. Умножаем полученный показатель на прогноз дохода магазина на этот период.</a:t>
          </a:r>
          <a:endParaRPr lang="ru-RU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oneCellAnchor>
  <xdr:twoCellAnchor>
    <xdr:from>
      <xdr:col>5</xdr:col>
      <xdr:colOff>333375</xdr:colOff>
      <xdr:row>95</xdr:row>
      <xdr:rowOff>0</xdr:rowOff>
    </xdr:from>
    <xdr:to>
      <xdr:col>13</xdr:col>
      <xdr:colOff>514350</xdr:colOff>
      <xdr:row>97</xdr:row>
      <xdr:rowOff>142875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4210050" y="18383250"/>
          <a:ext cx="5972175" cy="54292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Коэффициенты </a:t>
          </a:r>
          <a:r>
            <a:rPr lang="en-US" sz="1100"/>
            <a:t>k </a:t>
          </a:r>
          <a:r>
            <a:rPr lang="ru-RU" sz="1100"/>
            <a:t>и</a:t>
          </a:r>
          <a:r>
            <a:rPr lang="ru-RU" sz="1100" baseline="0"/>
            <a:t> </a:t>
          </a:r>
          <a:r>
            <a:rPr lang="en-US" sz="1100" baseline="0"/>
            <a:t>b </a:t>
          </a:r>
          <a:r>
            <a:rPr lang="ru-RU" sz="1100" baseline="0"/>
            <a:t>я оптимизировал функцией </a:t>
          </a:r>
          <a:r>
            <a:rPr lang="en-US" sz="1100" baseline="0"/>
            <a:t>Solver</a:t>
          </a:r>
          <a:r>
            <a:rPr lang="ru-RU" sz="1100" baseline="0"/>
            <a:t>: такие значения дают минимальный </a:t>
          </a:r>
          <a:r>
            <a:rPr lang="en-US" sz="1100" baseline="0"/>
            <a:t>MAPE = 14.9%.</a:t>
          </a:r>
          <a:endParaRPr lang="ru-RU" sz="1100"/>
        </a:p>
      </xdr:txBody>
    </xdr:sp>
    <xdr:clientData/>
  </xdr:twoCellAnchor>
  <xdr:twoCellAnchor>
    <xdr:from>
      <xdr:col>0</xdr:col>
      <xdr:colOff>276225</xdr:colOff>
      <xdr:row>104</xdr:row>
      <xdr:rowOff>14287</xdr:rowOff>
    </xdr:from>
    <xdr:to>
      <xdr:col>16</xdr:col>
      <xdr:colOff>152400</xdr:colOff>
      <xdr:row>118</xdr:row>
      <xdr:rowOff>90487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38100</xdr:colOff>
      <xdr:row>127</xdr:row>
      <xdr:rowOff>190500</xdr:rowOff>
    </xdr:from>
    <xdr:to>
      <xdr:col>6</xdr:col>
      <xdr:colOff>304800</xdr:colOff>
      <xdr:row>130</xdr:row>
      <xdr:rowOff>180975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1743075" y="24745950"/>
          <a:ext cx="3162300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Выберем</a:t>
          </a:r>
          <a:r>
            <a:rPr lang="ru-RU" sz="1100" baseline="0"/>
            <a:t> модель Хольта, так как она дает наименьший </a:t>
          </a:r>
          <a:r>
            <a:rPr lang="en-US" sz="1100" baseline="0"/>
            <a:t>MAPE</a:t>
          </a:r>
          <a:r>
            <a:rPr lang="ru-RU" sz="1100" baseline="0"/>
            <a:t>.</a:t>
          </a:r>
          <a:endParaRPr lang="ru-RU" sz="1100"/>
        </a:p>
      </xdr:txBody>
    </xdr:sp>
    <xdr:clientData/>
  </xdr:twoCellAnchor>
  <xdr:twoCellAnchor>
    <xdr:from>
      <xdr:col>6</xdr:col>
      <xdr:colOff>371475</xdr:colOff>
      <xdr:row>155</xdr:row>
      <xdr:rowOff>0</xdr:rowOff>
    </xdr:from>
    <xdr:to>
      <xdr:col>12</xdr:col>
      <xdr:colOff>600075</xdr:colOff>
      <xdr:row>167</xdr:row>
      <xdr:rowOff>38100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371475</xdr:colOff>
      <xdr:row>138</xdr:row>
      <xdr:rowOff>190499</xdr:rowOff>
    </xdr:from>
    <xdr:to>
      <xdr:col>12</xdr:col>
      <xdr:colOff>600074</xdr:colOff>
      <xdr:row>151</xdr:row>
      <xdr:rowOff>4761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Users\renat\Desktop\System\BusPlan\&#1041;&#1080;&#1079;&#1085;&#1077;&#1089;-&#1087;&#1083;&#1072;&#1085;%202003\&#1055;&#1088;&#1086;&#1075;&#1085;&#1086;&#1079;&#1099;%20&#1076;&#1074;&#1080;&#1078;&#1077;&#1085;&#1080;&#1103;%20&#1076;&#1077;&#1085;&#1077;&#1078;&#1085;&#1099;&#1093;%20&#1089;&#1088;&#1077;&#1076;&#1089;&#1090;&#1074;\&#1044;&#1086;%20&#1072;&#1087;&#1088;&#1077;&#1083;&#1103;%2004%20&#1089;%20&#1085;&#1086;&#1074;&#1086;&#1075;&#1086;&#1076;&#1085;&#1077;&#1081;%20&#1082;&#1072;&#1084;&#1087;&#1072;&#1085;&#1080;&#1077;&#1081;\&#1055;&#1088;&#1086;&#1075;&#1085;&#1086;&#1079;%20&#1076;&#1077;&#1082;&#1072;&#1073;&#1088;&#1100;%20&#1072;&#1087;&#1088;&#1077;&#1083;&#1100;%20200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oreca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7"/>
  <sheetViews>
    <sheetView tabSelected="1" zoomScaleNormal="100" workbookViewId="0">
      <selection activeCell="O9" sqref="O9"/>
    </sheetView>
  </sheetViews>
  <sheetFormatPr defaultRowHeight="15" x14ac:dyDescent="0.25"/>
  <cols>
    <col min="1" max="16384" width="9.140625" style="1"/>
  </cols>
  <sheetData>
    <row r="1" spans="2:16" ht="15.75" thickBot="1" x14ac:dyDescent="0.3"/>
    <row r="2" spans="2:16" ht="23.25" customHeight="1" x14ac:dyDescent="0.25">
      <c r="B2" s="161" t="s">
        <v>0</v>
      </c>
      <c r="C2" s="162"/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3"/>
    </row>
    <row r="3" spans="2:16" x14ac:dyDescent="0.25">
      <c r="B3" s="164"/>
      <c r="C3" s="165"/>
      <c r="D3" s="165"/>
      <c r="E3" s="165"/>
      <c r="F3" s="165"/>
      <c r="G3" s="165"/>
      <c r="H3" s="165"/>
      <c r="I3" s="165"/>
      <c r="J3" s="165"/>
      <c r="K3" s="165"/>
      <c r="L3" s="165"/>
      <c r="M3" s="165"/>
      <c r="N3" s="165"/>
      <c r="O3" s="165"/>
      <c r="P3" s="166"/>
    </row>
    <row r="4" spans="2:16" x14ac:dyDescent="0.25">
      <c r="B4" s="164"/>
      <c r="C4" s="165"/>
      <c r="D4" s="165"/>
      <c r="E4" s="165"/>
      <c r="F4" s="165"/>
      <c r="G4" s="165"/>
      <c r="H4" s="165"/>
      <c r="I4" s="165"/>
      <c r="J4" s="165"/>
      <c r="K4" s="165"/>
      <c r="L4" s="165"/>
      <c r="M4" s="165"/>
      <c r="N4" s="165"/>
      <c r="O4" s="165"/>
      <c r="P4" s="166"/>
    </row>
    <row r="5" spans="2:16" x14ac:dyDescent="0.25">
      <c r="B5" s="164"/>
      <c r="C5" s="165"/>
      <c r="D5" s="165"/>
      <c r="E5" s="165"/>
      <c r="F5" s="165"/>
      <c r="G5" s="165"/>
      <c r="H5" s="165"/>
      <c r="I5" s="165"/>
      <c r="J5" s="165"/>
      <c r="K5" s="165"/>
      <c r="L5" s="165"/>
      <c r="M5" s="165"/>
      <c r="N5" s="165"/>
      <c r="O5" s="165"/>
      <c r="P5" s="166"/>
    </row>
    <row r="6" spans="2:16" x14ac:dyDescent="0.25">
      <c r="B6" s="164"/>
      <c r="C6" s="165"/>
      <c r="D6" s="165"/>
      <c r="E6" s="165"/>
      <c r="F6" s="165"/>
      <c r="G6" s="165"/>
      <c r="H6" s="165"/>
      <c r="I6" s="165"/>
      <c r="J6" s="165"/>
      <c r="K6" s="165"/>
      <c r="L6" s="165"/>
      <c r="M6" s="165"/>
      <c r="N6" s="165"/>
      <c r="O6" s="165"/>
      <c r="P6" s="166"/>
    </row>
    <row r="7" spans="2:16" ht="15.75" thickBot="1" x14ac:dyDescent="0.3">
      <c r="B7" s="167"/>
      <c r="C7" s="168"/>
      <c r="D7" s="168"/>
      <c r="E7" s="168"/>
      <c r="F7" s="168"/>
      <c r="G7" s="168"/>
      <c r="H7" s="168"/>
      <c r="I7" s="168"/>
      <c r="J7" s="168"/>
      <c r="K7" s="168"/>
      <c r="L7" s="168"/>
      <c r="M7" s="168"/>
      <c r="N7" s="168"/>
      <c r="O7" s="168"/>
      <c r="P7" s="169"/>
    </row>
    <row r="10" spans="2:16" x14ac:dyDescent="0.25">
      <c r="C10" s="1">
        <v>5</v>
      </c>
      <c r="D10" s="1">
        <v>5</v>
      </c>
      <c r="E10" s="1">
        <v>5</v>
      </c>
      <c r="F10" s="1">
        <v>5</v>
      </c>
      <c r="G10" s="1">
        <v>5</v>
      </c>
    </row>
    <row r="11" spans="2:16" x14ac:dyDescent="0.25">
      <c r="C11" s="1">
        <v>4</v>
      </c>
      <c r="D11" s="1">
        <v>4</v>
      </c>
      <c r="E11" s="1">
        <v>4</v>
      </c>
      <c r="F11" s="1">
        <v>4</v>
      </c>
    </row>
    <row r="12" spans="2:16" x14ac:dyDescent="0.25">
      <c r="C12" s="1">
        <v>3</v>
      </c>
      <c r="D12" s="1">
        <v>3</v>
      </c>
      <c r="E12" s="1">
        <v>3</v>
      </c>
    </row>
    <row r="13" spans="2:16" x14ac:dyDescent="0.25">
      <c r="C13" s="1">
        <v>2</v>
      </c>
      <c r="D13" s="1">
        <v>2</v>
      </c>
    </row>
    <row r="14" spans="2:16" x14ac:dyDescent="0.25">
      <c r="C14" s="1">
        <v>1</v>
      </c>
    </row>
    <row r="17" spans="6:6" x14ac:dyDescent="0.25">
      <c r="F17" s="154"/>
    </row>
  </sheetData>
  <mergeCells count="1">
    <mergeCell ref="B2:P7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P18"/>
  <sheetViews>
    <sheetView zoomScaleNormal="100" workbookViewId="0"/>
  </sheetViews>
  <sheetFormatPr defaultRowHeight="15" x14ac:dyDescent="0.25"/>
  <cols>
    <col min="1" max="16384" width="9.140625" style="1"/>
  </cols>
  <sheetData>
    <row r="1" spans="2:16" ht="15.75" thickBot="1" x14ac:dyDescent="0.3"/>
    <row r="2" spans="2:16" x14ac:dyDescent="0.25">
      <c r="B2" s="170" t="s">
        <v>1</v>
      </c>
      <c r="C2" s="171"/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2"/>
    </row>
    <row r="3" spans="2:16" x14ac:dyDescent="0.25">
      <c r="B3" s="173"/>
      <c r="C3" s="174"/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5"/>
    </row>
    <row r="4" spans="2:16" x14ac:dyDescent="0.25">
      <c r="B4" s="173"/>
      <c r="C4" s="174"/>
      <c r="D4" s="174"/>
      <c r="E4" s="174"/>
      <c r="F4" s="174"/>
      <c r="G4" s="174"/>
      <c r="H4" s="174"/>
      <c r="I4" s="174"/>
      <c r="J4" s="174"/>
      <c r="K4" s="174"/>
      <c r="L4" s="174"/>
      <c r="M4" s="174"/>
      <c r="N4" s="174"/>
      <c r="O4" s="174"/>
      <c r="P4" s="175"/>
    </row>
    <row r="5" spans="2:16" x14ac:dyDescent="0.25">
      <c r="B5" s="173"/>
      <c r="C5" s="174"/>
      <c r="D5" s="174"/>
      <c r="E5" s="174"/>
      <c r="F5" s="174"/>
      <c r="G5" s="174"/>
      <c r="H5" s="174"/>
      <c r="I5" s="174"/>
      <c r="J5" s="174"/>
      <c r="K5" s="174"/>
      <c r="L5" s="174"/>
      <c r="M5" s="174"/>
      <c r="N5" s="174"/>
      <c r="O5" s="174"/>
      <c r="P5" s="175"/>
    </row>
    <row r="6" spans="2:16" x14ac:dyDescent="0.25">
      <c r="B6" s="173"/>
      <c r="C6" s="174"/>
      <c r="D6" s="174"/>
      <c r="E6" s="174"/>
      <c r="F6" s="174"/>
      <c r="G6" s="174"/>
      <c r="H6" s="174"/>
      <c r="I6" s="174"/>
      <c r="J6" s="174"/>
      <c r="K6" s="174"/>
      <c r="L6" s="174"/>
      <c r="M6" s="174"/>
      <c r="N6" s="174"/>
      <c r="O6" s="174"/>
      <c r="P6" s="175"/>
    </row>
    <row r="7" spans="2:16" x14ac:dyDescent="0.25">
      <c r="B7" s="173"/>
      <c r="C7" s="174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/>
    </row>
    <row r="8" spans="2:16" x14ac:dyDescent="0.25">
      <c r="B8" s="173"/>
      <c r="C8" s="174"/>
      <c r="D8" s="174"/>
      <c r="E8" s="174"/>
      <c r="F8" s="174"/>
      <c r="G8" s="174"/>
      <c r="H8" s="174"/>
      <c r="I8" s="174"/>
      <c r="J8" s="174"/>
      <c r="K8" s="174"/>
      <c r="L8" s="174"/>
      <c r="M8" s="174"/>
      <c r="N8" s="174"/>
      <c r="O8" s="174"/>
      <c r="P8" s="175"/>
    </row>
    <row r="9" spans="2:16" x14ac:dyDescent="0.25">
      <c r="B9" s="173"/>
      <c r="C9" s="174"/>
      <c r="D9" s="174"/>
      <c r="E9" s="174"/>
      <c r="F9" s="174"/>
      <c r="G9" s="174"/>
      <c r="H9" s="174"/>
      <c r="I9" s="174"/>
      <c r="J9" s="174"/>
      <c r="K9" s="174"/>
      <c r="L9" s="174"/>
      <c r="M9" s="174"/>
      <c r="N9" s="174"/>
      <c r="O9" s="174"/>
      <c r="P9" s="175"/>
    </row>
    <row r="10" spans="2:16" x14ac:dyDescent="0.25">
      <c r="B10" s="173"/>
      <c r="C10" s="174"/>
      <c r="D10" s="174"/>
      <c r="E10" s="174"/>
      <c r="F10" s="174"/>
      <c r="G10" s="174"/>
      <c r="H10" s="174"/>
      <c r="I10" s="174"/>
      <c r="J10" s="174"/>
      <c r="K10" s="174"/>
      <c r="L10" s="174"/>
      <c r="M10" s="174"/>
      <c r="N10" s="174"/>
      <c r="O10" s="174"/>
      <c r="P10" s="175"/>
    </row>
    <row r="11" spans="2:16" ht="15.75" thickBot="1" x14ac:dyDescent="0.3">
      <c r="B11" s="176"/>
      <c r="C11" s="177"/>
      <c r="D11" s="177"/>
      <c r="E11" s="177"/>
      <c r="F11" s="177"/>
      <c r="G11" s="177"/>
      <c r="H11" s="177"/>
      <c r="I11" s="177"/>
      <c r="J11" s="177"/>
      <c r="K11" s="177"/>
      <c r="L11" s="177"/>
      <c r="M11" s="177"/>
      <c r="N11" s="177"/>
      <c r="O11" s="177"/>
      <c r="P11" s="178"/>
    </row>
    <row r="13" spans="2:16" x14ac:dyDescent="0.25">
      <c r="D13" s="1" t="s">
        <v>2</v>
      </c>
      <c r="E13" s="1" t="s">
        <v>3</v>
      </c>
      <c r="F13" s="1" t="s">
        <v>4</v>
      </c>
      <c r="G13" s="1" t="s">
        <v>5</v>
      </c>
      <c r="H13" s="1" t="s">
        <v>6</v>
      </c>
      <c r="I13" s="1" t="s">
        <v>7</v>
      </c>
      <c r="J13" s="1" t="s">
        <v>8</v>
      </c>
      <c r="K13" s="1" t="s">
        <v>9</v>
      </c>
      <c r="L13" s="1" t="s">
        <v>10</v>
      </c>
      <c r="M13" s="1" t="s">
        <v>11</v>
      </c>
      <c r="N13" s="1" t="s">
        <v>12</v>
      </c>
      <c r="O13" s="1" t="s">
        <v>13</v>
      </c>
    </row>
    <row r="14" spans="2:16" x14ac:dyDescent="0.25">
      <c r="C14" s="1">
        <v>2018</v>
      </c>
      <c r="D14" s="1">
        <v>110</v>
      </c>
      <c r="E14" s="1">
        <v>108</v>
      </c>
      <c r="F14" s="1">
        <v>105</v>
      </c>
      <c r="G14" s="1">
        <v>99</v>
      </c>
      <c r="H14" s="1">
        <v>77</v>
      </c>
      <c r="I14" s="1">
        <v>125</v>
      </c>
      <c r="J14" s="1">
        <v>91</v>
      </c>
      <c r="K14" s="1">
        <v>76</v>
      </c>
      <c r="L14" s="1">
        <v>102</v>
      </c>
      <c r="M14" s="1">
        <v>125</v>
      </c>
      <c r="N14" s="1">
        <v>116</v>
      </c>
      <c r="O14" s="1">
        <v>91</v>
      </c>
    </row>
    <row r="15" spans="2:16" x14ac:dyDescent="0.25">
      <c r="C15" s="1">
        <v>2017</v>
      </c>
      <c r="D15" s="1">
        <v>112</v>
      </c>
      <c r="E15" s="1">
        <v>108</v>
      </c>
      <c r="F15" s="1">
        <v>90</v>
      </c>
      <c r="G15" s="1">
        <v>104</v>
      </c>
      <c r="H15" s="1">
        <v>82</v>
      </c>
      <c r="I15" s="1">
        <v>80</v>
      </c>
      <c r="J15" s="1">
        <v>76</v>
      </c>
      <c r="K15" s="1">
        <v>86</v>
      </c>
      <c r="L15" s="1">
        <v>117</v>
      </c>
      <c r="M15" s="1">
        <v>120</v>
      </c>
      <c r="N15" s="1">
        <v>121</v>
      </c>
      <c r="O15" s="1">
        <v>96</v>
      </c>
    </row>
    <row r="18" spans="2:13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</row>
  </sheetData>
  <mergeCells count="1">
    <mergeCell ref="B2:P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artArrow">
                <anchor moveWithCells="1" sizeWithCells="1">
                  <from>
                    <xdr:col>11</xdr:col>
                    <xdr:colOff>19050</xdr:colOff>
                    <xdr:row>16</xdr:row>
                    <xdr:rowOff>9525</xdr:rowOff>
                  </from>
                  <to>
                    <xdr:col>12</xdr:col>
                    <xdr:colOff>590550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44"/>
  <sheetViews>
    <sheetView topLeftCell="A34" workbookViewId="0"/>
  </sheetViews>
  <sheetFormatPr defaultRowHeight="15" x14ac:dyDescent="0.25"/>
  <cols>
    <col min="1" max="2" width="9.140625" style="1"/>
    <col min="3" max="3" width="9.85546875" style="1" customWidth="1"/>
    <col min="4" max="4" width="10.42578125" style="1" customWidth="1"/>
    <col min="5" max="8" width="9.140625" style="1"/>
    <col min="9" max="9" width="14.85546875" style="1" customWidth="1"/>
    <col min="10" max="10" width="9.140625" style="1" customWidth="1"/>
    <col min="11" max="13" width="9.140625" style="1"/>
    <col min="14" max="14" width="15.85546875" style="1" bestFit="1" customWidth="1"/>
    <col min="15" max="15" width="8.7109375" style="1" bestFit="1" customWidth="1"/>
    <col min="16" max="16" width="10.28515625" style="1" bestFit="1" customWidth="1"/>
    <col min="17" max="17" width="8.7109375" style="1" bestFit="1" customWidth="1"/>
    <col min="18" max="18" width="8.85546875" style="1" bestFit="1" customWidth="1"/>
    <col min="19" max="19" width="9" style="1" bestFit="1" customWidth="1"/>
    <col min="20" max="20" width="8.85546875" style="1" bestFit="1" customWidth="1"/>
    <col min="21" max="21" width="8.7109375" style="1" bestFit="1" customWidth="1"/>
    <col min="22" max="16384" width="9.140625" style="1"/>
  </cols>
  <sheetData>
    <row r="1" spans="1:21" ht="15.75" thickBot="1" x14ac:dyDescent="0.3"/>
    <row r="2" spans="1:21" x14ac:dyDescent="0.25">
      <c r="B2" s="179" t="s">
        <v>28</v>
      </c>
      <c r="C2" s="180"/>
      <c r="D2" s="180"/>
      <c r="E2" s="180"/>
      <c r="F2" s="180"/>
      <c r="G2" s="180"/>
      <c r="H2" s="180"/>
      <c r="I2" s="180"/>
      <c r="J2" s="180"/>
      <c r="K2" s="180"/>
      <c r="L2" s="180"/>
      <c r="M2" s="180"/>
      <c r="N2" s="180"/>
      <c r="O2" s="180"/>
      <c r="P2" s="181"/>
    </row>
    <row r="3" spans="1:21" x14ac:dyDescent="0.25">
      <c r="B3" s="182"/>
      <c r="C3" s="183"/>
      <c r="D3" s="183"/>
      <c r="E3" s="183"/>
      <c r="F3" s="183"/>
      <c r="G3" s="183"/>
      <c r="H3" s="183"/>
      <c r="I3" s="183"/>
      <c r="J3" s="183"/>
      <c r="K3" s="183"/>
      <c r="L3" s="183"/>
      <c r="M3" s="183"/>
      <c r="N3" s="183"/>
      <c r="O3" s="183"/>
      <c r="P3" s="184"/>
    </row>
    <row r="4" spans="1:21" x14ac:dyDescent="0.25">
      <c r="B4" s="182"/>
      <c r="C4" s="183"/>
      <c r="D4" s="183"/>
      <c r="E4" s="183"/>
      <c r="F4" s="183"/>
      <c r="G4" s="183"/>
      <c r="H4" s="183"/>
      <c r="I4" s="183"/>
      <c r="J4" s="183"/>
      <c r="K4" s="183"/>
      <c r="L4" s="183"/>
      <c r="M4" s="183"/>
      <c r="N4" s="183"/>
      <c r="O4" s="183"/>
      <c r="P4" s="184"/>
    </row>
    <row r="5" spans="1:21" x14ac:dyDescent="0.25">
      <c r="B5" s="182"/>
      <c r="C5" s="183"/>
      <c r="D5" s="183"/>
      <c r="E5" s="183"/>
      <c r="F5" s="183"/>
      <c r="G5" s="183"/>
      <c r="H5" s="183"/>
      <c r="I5" s="183"/>
      <c r="J5" s="183"/>
      <c r="K5" s="183"/>
      <c r="L5" s="183"/>
      <c r="M5" s="183"/>
      <c r="N5" s="183"/>
      <c r="O5" s="183"/>
      <c r="P5" s="184"/>
    </row>
    <row r="6" spans="1:21" x14ac:dyDescent="0.25">
      <c r="B6" s="182"/>
      <c r="C6" s="183"/>
      <c r="D6" s="183"/>
      <c r="E6" s="183"/>
      <c r="F6" s="183"/>
      <c r="G6" s="183"/>
      <c r="H6" s="183"/>
      <c r="I6" s="183"/>
      <c r="J6" s="183"/>
      <c r="K6" s="183"/>
      <c r="L6" s="183"/>
      <c r="M6" s="183"/>
      <c r="N6" s="183"/>
      <c r="O6" s="183"/>
      <c r="P6" s="184"/>
    </row>
    <row r="7" spans="1:21" x14ac:dyDescent="0.25">
      <c r="B7" s="182"/>
      <c r="C7" s="183"/>
      <c r="D7" s="183"/>
      <c r="E7" s="183"/>
      <c r="F7" s="183"/>
      <c r="G7" s="183"/>
      <c r="H7" s="183"/>
      <c r="I7" s="183"/>
      <c r="J7" s="183"/>
      <c r="K7" s="183"/>
      <c r="L7" s="183"/>
      <c r="M7" s="183"/>
      <c r="N7" s="183"/>
      <c r="O7" s="183"/>
      <c r="P7" s="184"/>
    </row>
    <row r="8" spans="1:21" ht="15.75" thickBot="1" x14ac:dyDescent="0.3">
      <c r="B8" s="185"/>
      <c r="C8" s="186"/>
      <c r="D8" s="186"/>
      <c r="E8" s="186"/>
      <c r="F8" s="186"/>
      <c r="G8" s="186"/>
      <c r="H8" s="186"/>
      <c r="I8" s="186"/>
      <c r="J8" s="186"/>
      <c r="K8" s="186"/>
      <c r="L8" s="186"/>
      <c r="M8" s="186"/>
      <c r="N8" s="186"/>
      <c r="O8" s="186"/>
      <c r="P8" s="187"/>
    </row>
    <row r="12" spans="1:21" x14ac:dyDescent="0.25">
      <c r="N12"/>
      <c r="O12"/>
      <c r="P12"/>
      <c r="Q12"/>
      <c r="R12"/>
      <c r="T12"/>
      <c r="U12"/>
    </row>
    <row r="13" spans="1:21" x14ac:dyDescent="0.25">
      <c r="A13" s="12" t="s">
        <v>29</v>
      </c>
      <c r="B13" s="12" t="s">
        <v>30</v>
      </c>
      <c r="C13" s="12" t="s">
        <v>31</v>
      </c>
      <c r="D13" s="12" t="s">
        <v>32</v>
      </c>
      <c r="E13" s="12" t="s">
        <v>33</v>
      </c>
      <c r="F13" s="12" t="s">
        <v>34</v>
      </c>
      <c r="G13" s="12" t="s">
        <v>35</v>
      </c>
      <c r="H13" s="12" t="s">
        <v>36</v>
      </c>
      <c r="P13"/>
      <c r="Q13"/>
      <c r="R13"/>
      <c r="T13"/>
      <c r="U13"/>
    </row>
    <row r="14" spans="1:21" x14ac:dyDescent="0.25">
      <c r="A14" s="13">
        <v>2014</v>
      </c>
      <c r="B14" s="13" t="s">
        <v>37</v>
      </c>
      <c r="C14" s="13" t="s">
        <v>14</v>
      </c>
      <c r="D14" s="14">
        <f ca="1">SUMIFS(INDIRECT("r"&amp;ROW($A$41)+1&amp;"c"&amp;MATCH(D$13,$A$41:$L$41,1)&amp;":r"&amp;ROW($A$241)&amp;"c"&amp;MATCH(D$13,$A$41:$L$41,1),0),$B$42:$B$241,$A14,$C$42:$C$241,$B14,$D$42:$D$241,$C14)</f>
        <v>20126</v>
      </c>
      <c r="E14" s="14">
        <f t="shared" ref="E14:H18" ca="1" si="0">SUMIFS(INDIRECT("r"&amp;ROW($A$41)+1&amp;"c"&amp;MATCH(E$13,$A$41:$L$41,1)&amp;":r"&amp;ROW($A$241)&amp;"c"&amp;MATCH(E$13,$A$41:$L$41,1),0),$B$42:$B$241,$A14,$C$42:$C$241,$B14,$D$42:$D$241,$C14)</f>
        <v>13534</v>
      </c>
      <c r="F14" s="14">
        <f t="shared" ca="1" si="0"/>
        <v>27466</v>
      </c>
      <c r="G14" s="14">
        <f t="shared" ca="1" si="0"/>
        <v>10571</v>
      </c>
      <c r="H14" s="14">
        <f t="shared" ca="1" si="0"/>
        <v>14955</v>
      </c>
      <c r="P14"/>
      <c r="Q14"/>
      <c r="R14"/>
      <c r="T14"/>
      <c r="U14"/>
    </row>
    <row r="15" spans="1:21" x14ac:dyDescent="0.25">
      <c r="A15" s="13">
        <v>2015</v>
      </c>
      <c r="B15" s="13" t="s">
        <v>38</v>
      </c>
      <c r="C15" s="13" t="s">
        <v>39</v>
      </c>
      <c r="D15" s="14">
        <f t="shared" ref="D15:D18" ca="1" si="1">SUMIFS(INDIRECT("r"&amp;ROW($A$41)+1&amp;"c"&amp;MATCH(D$13,$A$41:$L$41,1)&amp;":r"&amp;ROW($A$241)&amp;"c"&amp;MATCH(D$13,$A$41:$L$41,1),0),$B$42:$B$241,$A15,$C$42:$C$241,$B15,$D$42:$D$241,$C15)</f>
        <v>7502</v>
      </c>
      <c r="E15" s="14">
        <f t="shared" ca="1" si="0"/>
        <v>14064</v>
      </c>
      <c r="F15" s="14">
        <f t="shared" ca="1" si="0"/>
        <v>14770</v>
      </c>
      <c r="G15" s="14">
        <f t="shared" ca="1" si="0"/>
        <v>12359</v>
      </c>
      <c r="H15" s="14">
        <f t="shared" ca="1" si="0"/>
        <v>9462</v>
      </c>
      <c r="P15"/>
      <c r="Q15"/>
      <c r="R15"/>
      <c r="T15"/>
      <c r="U15"/>
    </row>
    <row r="16" spans="1:21" x14ac:dyDescent="0.25">
      <c r="A16" s="13">
        <v>2016</v>
      </c>
      <c r="B16" s="13" t="s">
        <v>40</v>
      </c>
      <c r="C16" s="15" t="s">
        <v>41</v>
      </c>
      <c r="D16" s="14">
        <f t="shared" ca="1" si="1"/>
        <v>3462</v>
      </c>
      <c r="E16" s="14">
        <f t="shared" ca="1" si="0"/>
        <v>1697</v>
      </c>
      <c r="F16" s="14">
        <f t="shared" ca="1" si="0"/>
        <v>5530</v>
      </c>
      <c r="G16" s="14">
        <f t="shared" ca="1" si="0"/>
        <v>6778</v>
      </c>
      <c r="H16" s="14">
        <f t="shared" ca="1" si="0"/>
        <v>7675</v>
      </c>
      <c r="P16"/>
      <c r="Q16"/>
      <c r="R16"/>
      <c r="T16"/>
      <c r="U16"/>
    </row>
    <row r="17" spans="1:21" x14ac:dyDescent="0.25">
      <c r="A17" s="13">
        <v>2017</v>
      </c>
      <c r="B17" s="13" t="s">
        <v>42</v>
      </c>
      <c r="C17" s="13" t="s">
        <v>14</v>
      </c>
      <c r="D17" s="14">
        <f t="shared" ca="1" si="1"/>
        <v>2451</v>
      </c>
      <c r="E17" s="14">
        <f t="shared" ca="1" si="0"/>
        <v>7402</v>
      </c>
      <c r="F17" s="14">
        <f t="shared" ca="1" si="0"/>
        <v>8961</v>
      </c>
      <c r="G17" s="14">
        <f t="shared" ca="1" si="0"/>
        <v>2306</v>
      </c>
      <c r="H17" s="14">
        <f t="shared" ca="1" si="0"/>
        <v>6866</v>
      </c>
      <c r="N17"/>
      <c r="O17"/>
      <c r="P17"/>
      <c r="Q17"/>
      <c r="R17"/>
      <c r="T17"/>
      <c r="U17"/>
    </row>
    <row r="18" spans="1:21" x14ac:dyDescent="0.25">
      <c r="A18" s="13">
        <v>2018</v>
      </c>
      <c r="B18" s="13" t="s">
        <v>43</v>
      </c>
      <c r="C18" s="13" t="s">
        <v>39</v>
      </c>
      <c r="D18" s="14">
        <f t="shared" ca="1" si="1"/>
        <v>17265</v>
      </c>
      <c r="E18" s="14">
        <f t="shared" ca="1" si="0"/>
        <v>16305</v>
      </c>
      <c r="F18" s="14">
        <f t="shared" ca="1" si="0"/>
        <v>22842</v>
      </c>
      <c r="G18" s="14">
        <f t="shared" ca="1" si="0"/>
        <v>23198</v>
      </c>
      <c r="H18" s="14">
        <f t="shared" ca="1" si="0"/>
        <v>17159</v>
      </c>
      <c r="P18"/>
      <c r="Q18"/>
      <c r="R18"/>
      <c r="T18"/>
      <c r="U18"/>
    </row>
    <row r="19" spans="1:21" x14ac:dyDescent="0.25">
      <c r="B19" s="15"/>
      <c r="N19"/>
      <c r="O19"/>
      <c r="P19"/>
      <c r="Q19"/>
      <c r="R19"/>
      <c r="T19"/>
      <c r="U19"/>
    </row>
    <row r="20" spans="1:21" x14ac:dyDescent="0.25">
      <c r="N20"/>
      <c r="O20"/>
      <c r="P20"/>
      <c r="Q20"/>
      <c r="R20"/>
      <c r="T20"/>
      <c r="U20"/>
    </row>
    <row r="21" spans="1:21" ht="15.75" thickBot="1" x14ac:dyDescent="0.3">
      <c r="N21"/>
      <c r="O21"/>
      <c r="P21"/>
      <c r="Q21"/>
      <c r="R21"/>
      <c r="T21"/>
      <c r="U21"/>
    </row>
    <row r="22" spans="1:21" ht="60.75" thickBot="1" x14ac:dyDescent="0.3">
      <c r="A22" s="155" t="s">
        <v>29</v>
      </c>
      <c r="B22" s="156" t="s">
        <v>31</v>
      </c>
      <c r="C22" s="157" t="s">
        <v>48</v>
      </c>
      <c r="D22" s="158" t="s">
        <v>50</v>
      </c>
      <c r="E22" s="158" t="s">
        <v>49</v>
      </c>
      <c r="F22" s="159" t="s">
        <v>86</v>
      </c>
      <c r="I22" s="160" t="s">
        <v>87</v>
      </c>
      <c r="P22"/>
      <c r="Q22"/>
      <c r="R22"/>
      <c r="T22"/>
      <c r="U22"/>
    </row>
    <row r="23" spans="1:21" x14ac:dyDescent="0.25">
      <c r="A23" s="148">
        <v>2014</v>
      </c>
      <c r="B23" s="149" t="s">
        <v>41</v>
      </c>
      <c r="C23" s="23">
        <f>COUNTIFS($E$42:$E$241,C$22,$B$42:$B$241,$A23,$D$42:$D$241,$B23)</f>
        <v>10</v>
      </c>
      <c r="D23" s="144">
        <f t="shared" ref="D23:E37" si="2">COUNTIFS($E$42:$E$241,D$22,$B$42:$B$241,$A23,$D$42:$D$241,$B23)</f>
        <v>3</v>
      </c>
      <c r="E23" s="144">
        <f t="shared" si="2"/>
        <v>7</v>
      </c>
      <c r="F23" s="145" t="b">
        <f>AND(C23,D23,E23)</f>
        <v>1</v>
      </c>
      <c r="I23" s="138" t="str">
        <f>IFERROR(INDEX($A$23:$A$37&amp;" "&amp;$B$23:$B$37,_xlfn.AGGREGATE(15,3,1/($F$23:$F$37=FALSE)*(ROW($A$23:$A$37)-ROW($A$22)),ROWS($A$23:$A23))),"")</f>
        <v>2015 OIBDA</v>
      </c>
      <c r="N23"/>
      <c r="O23"/>
      <c r="P23"/>
      <c r="Q23"/>
      <c r="R23"/>
      <c r="T23"/>
      <c r="U23"/>
    </row>
    <row r="24" spans="1:21" x14ac:dyDescent="0.25">
      <c r="A24" s="150">
        <v>2014</v>
      </c>
      <c r="B24" s="151" t="s">
        <v>39</v>
      </c>
      <c r="C24" s="146">
        <f t="shared" ref="C24:C37" si="3">COUNTIFS($E$42:$E$241,C$22,$B$42:$B$241,$A24,$D$42:$D$241,$B24)</f>
        <v>3</v>
      </c>
      <c r="D24" s="13">
        <f t="shared" si="2"/>
        <v>6</v>
      </c>
      <c r="E24" s="13">
        <f t="shared" si="2"/>
        <v>2</v>
      </c>
      <c r="F24" s="141" t="b">
        <f t="shared" ref="F24:F37" si="4">AND(C24,D24,E24)</f>
        <v>1</v>
      </c>
      <c r="I24" s="139" t="str">
        <f>IFERROR(INDEX($A$23:$A$37&amp;" "&amp;$B$23:$B$37,_xlfn.AGGREGATE(15,3,1/($F$23:$F$37=FALSE)*(ROW($A$23:$A$37)-ROW($A$22)),ROWS($A$23:$A24))),"")</f>
        <v/>
      </c>
      <c r="N24"/>
      <c r="O24"/>
      <c r="P24"/>
      <c r="Q24"/>
      <c r="R24"/>
      <c r="T24"/>
      <c r="U24"/>
    </row>
    <row r="25" spans="1:21" x14ac:dyDescent="0.25">
      <c r="A25" s="150">
        <v>2014</v>
      </c>
      <c r="B25" s="151" t="s">
        <v>14</v>
      </c>
      <c r="C25" s="146">
        <f t="shared" si="3"/>
        <v>2</v>
      </c>
      <c r="D25" s="13">
        <f t="shared" si="2"/>
        <v>4</v>
      </c>
      <c r="E25" s="13">
        <f t="shared" si="2"/>
        <v>2</v>
      </c>
      <c r="F25" s="141" t="b">
        <f t="shared" si="4"/>
        <v>1</v>
      </c>
      <c r="I25" s="139" t="str">
        <f>IFERROR(INDEX($A$23:$A$37&amp;" "&amp;$B$23:$B$37,_xlfn.AGGREGATE(15,3,1/($F$23:$F$37=FALSE)*(ROW($A$23:$A$37)-ROW($A$22)),ROWS($A$23:$A25))),"")</f>
        <v/>
      </c>
      <c r="N25"/>
      <c r="O25"/>
      <c r="P25"/>
      <c r="Q25"/>
      <c r="R25"/>
      <c r="T25"/>
      <c r="U25"/>
    </row>
    <row r="26" spans="1:21" x14ac:dyDescent="0.25">
      <c r="A26" s="150">
        <v>2015</v>
      </c>
      <c r="B26" s="151" t="s">
        <v>41</v>
      </c>
      <c r="C26" s="146">
        <f t="shared" si="3"/>
        <v>0</v>
      </c>
      <c r="D26" s="13">
        <f t="shared" si="2"/>
        <v>8</v>
      </c>
      <c r="E26" s="13">
        <f t="shared" si="2"/>
        <v>5</v>
      </c>
      <c r="F26" s="141" t="b">
        <f t="shared" si="4"/>
        <v>0</v>
      </c>
      <c r="I26" s="139" t="str">
        <f>IFERROR(INDEX($A$23:$A$37&amp;" "&amp;$B$23:$B$37,_xlfn.AGGREGATE(15,3,1/($F$23:$F$37=FALSE)*(ROW($A$23:$A$37)-ROW($A$22)),ROWS($A$23:$A26))),"")</f>
        <v/>
      </c>
      <c r="N26"/>
      <c r="O26"/>
      <c r="P26"/>
      <c r="Q26"/>
      <c r="R26"/>
      <c r="T26"/>
      <c r="U26"/>
    </row>
    <row r="27" spans="1:21" x14ac:dyDescent="0.25">
      <c r="A27" s="150">
        <v>2015</v>
      </c>
      <c r="B27" s="151" t="s">
        <v>39</v>
      </c>
      <c r="C27" s="146">
        <f t="shared" si="3"/>
        <v>2</v>
      </c>
      <c r="D27" s="13">
        <f t="shared" si="2"/>
        <v>6</v>
      </c>
      <c r="E27" s="13">
        <f t="shared" si="2"/>
        <v>3</v>
      </c>
      <c r="F27" s="141" t="b">
        <f t="shared" si="4"/>
        <v>1</v>
      </c>
      <c r="I27" s="139" t="str">
        <f>IFERROR(INDEX($A$23:$A$37&amp;" "&amp;$B$23:$B$37,_xlfn.AGGREGATE(15,3,1/($F$23:$F$37=FALSE)*(ROW($A$23:$A$37)-ROW($A$22)),ROWS($A$23:$A27))),"")</f>
        <v/>
      </c>
      <c r="P27"/>
      <c r="Q27"/>
      <c r="R27"/>
      <c r="T27"/>
      <c r="U27"/>
    </row>
    <row r="28" spans="1:21" x14ac:dyDescent="0.25">
      <c r="A28" s="150">
        <v>2015</v>
      </c>
      <c r="B28" s="151" t="s">
        <v>14</v>
      </c>
      <c r="C28" s="146">
        <f t="shared" si="3"/>
        <v>4</v>
      </c>
      <c r="D28" s="13">
        <f t="shared" si="2"/>
        <v>2</v>
      </c>
      <c r="E28" s="13">
        <f t="shared" si="2"/>
        <v>2</v>
      </c>
      <c r="F28" s="141" t="b">
        <f t="shared" si="4"/>
        <v>1</v>
      </c>
      <c r="I28" s="139" t="str">
        <f>IFERROR(INDEX($A$23:$A$37&amp;" "&amp;$B$23:$B$37,_xlfn.AGGREGATE(15,3,1/($F$23:$F$37=FALSE)*(ROW($A$23:$A$37)-ROW($A$22)),ROWS($A$23:$A28))),"")</f>
        <v/>
      </c>
      <c r="N28"/>
      <c r="O28"/>
      <c r="P28"/>
      <c r="Q28"/>
      <c r="R28"/>
      <c r="T28"/>
      <c r="U28"/>
    </row>
    <row r="29" spans="1:21" x14ac:dyDescent="0.25">
      <c r="A29" s="150">
        <v>2016</v>
      </c>
      <c r="B29" s="151" t="s">
        <v>41</v>
      </c>
      <c r="C29" s="146">
        <f t="shared" si="3"/>
        <v>4</v>
      </c>
      <c r="D29" s="13">
        <f t="shared" si="2"/>
        <v>3</v>
      </c>
      <c r="E29" s="13">
        <f t="shared" si="2"/>
        <v>5</v>
      </c>
      <c r="F29" s="141" t="b">
        <f t="shared" si="4"/>
        <v>1</v>
      </c>
      <c r="I29" s="139" t="str">
        <f>IFERROR(INDEX($A$23:$A$37&amp;" "&amp;$B$23:$B$37,_xlfn.AGGREGATE(15,3,1/($F$23:$F$37=FALSE)*(ROW($A$23:$A$37)-ROW($A$22)),ROWS($A$23:$A29))),"")</f>
        <v/>
      </c>
      <c r="N29"/>
      <c r="O29"/>
      <c r="P29"/>
      <c r="Q29"/>
      <c r="R29"/>
      <c r="T29"/>
      <c r="U29"/>
    </row>
    <row r="30" spans="1:21" x14ac:dyDescent="0.25">
      <c r="A30" s="150">
        <v>2016</v>
      </c>
      <c r="B30" s="151" t="s">
        <v>39</v>
      </c>
      <c r="C30" s="146">
        <f t="shared" si="3"/>
        <v>4</v>
      </c>
      <c r="D30" s="13">
        <f t="shared" si="2"/>
        <v>4</v>
      </c>
      <c r="E30" s="13">
        <f t="shared" si="2"/>
        <v>2</v>
      </c>
      <c r="F30" s="141" t="b">
        <f t="shared" si="4"/>
        <v>1</v>
      </c>
      <c r="I30" s="139" t="str">
        <f>IFERROR(INDEX($A$23:$A$37&amp;" "&amp;$B$23:$B$37,_xlfn.AGGREGATE(15,3,1/($F$23:$F$37=FALSE)*(ROW($A$23:$A$37)-ROW($A$22)),ROWS($A$23:$A30))),"")</f>
        <v/>
      </c>
      <c r="N30"/>
      <c r="O30"/>
      <c r="P30"/>
      <c r="Q30"/>
      <c r="R30"/>
      <c r="T30"/>
      <c r="U30"/>
    </row>
    <row r="31" spans="1:21" x14ac:dyDescent="0.25">
      <c r="A31" s="150">
        <v>2016</v>
      </c>
      <c r="B31" s="151" t="s">
        <v>14</v>
      </c>
      <c r="C31" s="146">
        <f t="shared" si="3"/>
        <v>7</v>
      </c>
      <c r="D31" s="13">
        <f t="shared" si="2"/>
        <v>6</v>
      </c>
      <c r="E31" s="13">
        <f t="shared" si="2"/>
        <v>2</v>
      </c>
      <c r="F31" s="141" t="b">
        <f t="shared" si="4"/>
        <v>1</v>
      </c>
      <c r="I31" s="139" t="str">
        <f>IFERROR(INDEX($A$23:$A$37&amp;" "&amp;$B$23:$B$37,_xlfn.AGGREGATE(15,3,1/($F$23:$F$37=FALSE)*(ROW($A$23:$A$37)-ROW($A$22)),ROWS($A$23:$A31))),"")</f>
        <v/>
      </c>
      <c r="N31"/>
      <c r="O31"/>
      <c r="P31"/>
      <c r="Q31"/>
      <c r="R31"/>
      <c r="T31"/>
      <c r="U31"/>
    </row>
    <row r="32" spans="1:21" x14ac:dyDescent="0.25">
      <c r="A32" s="150">
        <v>2017</v>
      </c>
      <c r="B32" s="151" t="s">
        <v>41</v>
      </c>
      <c r="C32" s="146">
        <f t="shared" si="3"/>
        <v>7</v>
      </c>
      <c r="D32" s="13">
        <f t="shared" si="2"/>
        <v>3</v>
      </c>
      <c r="E32" s="13">
        <f t="shared" si="2"/>
        <v>4</v>
      </c>
      <c r="F32" s="141" t="b">
        <f t="shared" si="4"/>
        <v>1</v>
      </c>
      <c r="I32" s="139" t="str">
        <f>IFERROR(INDEX($A$23:$A$37&amp;" "&amp;$B$23:$B$37,_xlfn.AGGREGATE(15,3,1/($F$23:$F$37=FALSE)*(ROW($A$23:$A$37)-ROW($A$22)),ROWS($A$23:$A32))),"")</f>
        <v/>
      </c>
      <c r="P32"/>
      <c r="Q32"/>
      <c r="R32"/>
      <c r="T32"/>
      <c r="U32"/>
    </row>
    <row r="33" spans="1:21" x14ac:dyDescent="0.25">
      <c r="A33" s="150">
        <v>2017</v>
      </c>
      <c r="B33" s="151" t="s">
        <v>39</v>
      </c>
      <c r="C33" s="146">
        <f t="shared" si="3"/>
        <v>7</v>
      </c>
      <c r="D33" s="13">
        <f t="shared" si="2"/>
        <v>2</v>
      </c>
      <c r="E33" s="13">
        <f t="shared" si="2"/>
        <v>4</v>
      </c>
      <c r="F33" s="141" t="b">
        <f t="shared" si="4"/>
        <v>1</v>
      </c>
      <c r="I33" s="139" t="str">
        <f>IFERROR(INDEX($A$23:$A$37&amp;" "&amp;$B$23:$B$37,_xlfn.AGGREGATE(15,3,1/($F$23:$F$37=FALSE)*(ROW($A$23:$A$37)-ROW($A$22)),ROWS($A$23:$A33))),"")</f>
        <v/>
      </c>
      <c r="N33"/>
      <c r="O33"/>
      <c r="P33"/>
      <c r="Q33"/>
      <c r="R33"/>
      <c r="T33"/>
      <c r="U33"/>
    </row>
    <row r="34" spans="1:21" x14ac:dyDescent="0.25">
      <c r="A34" s="150">
        <v>2017</v>
      </c>
      <c r="B34" s="151" t="s">
        <v>14</v>
      </c>
      <c r="C34" s="146">
        <f t="shared" si="3"/>
        <v>2</v>
      </c>
      <c r="D34" s="13">
        <f t="shared" si="2"/>
        <v>6</v>
      </c>
      <c r="E34" s="13">
        <f t="shared" si="2"/>
        <v>6</v>
      </c>
      <c r="F34" s="141" t="b">
        <f t="shared" si="4"/>
        <v>1</v>
      </c>
      <c r="I34" s="139" t="str">
        <f>IFERROR(INDEX($A$23:$A$37&amp;" "&amp;$B$23:$B$37,_xlfn.AGGREGATE(15,3,1/($F$23:$F$37=FALSE)*(ROW($A$23:$A$37)-ROW($A$22)),ROWS($A$23:$A34))),"")</f>
        <v/>
      </c>
      <c r="N34"/>
      <c r="O34"/>
      <c r="P34"/>
      <c r="Q34"/>
      <c r="R34"/>
      <c r="T34"/>
      <c r="U34"/>
    </row>
    <row r="35" spans="1:21" x14ac:dyDescent="0.25">
      <c r="A35" s="150">
        <v>2018</v>
      </c>
      <c r="B35" s="151" t="s">
        <v>41</v>
      </c>
      <c r="C35" s="146">
        <f t="shared" si="3"/>
        <v>8</v>
      </c>
      <c r="D35" s="13">
        <f t="shared" si="2"/>
        <v>4</v>
      </c>
      <c r="E35" s="13">
        <f t="shared" si="2"/>
        <v>4</v>
      </c>
      <c r="F35" s="141" t="b">
        <f t="shared" si="4"/>
        <v>1</v>
      </c>
      <c r="I35" s="139" t="str">
        <f>IFERROR(INDEX($A$23:$A$37&amp;" "&amp;$B$23:$B$37,_xlfn.AGGREGATE(15,3,1/($F$23:$F$37=FALSE)*(ROW($A$23:$A$37)-ROW($A$22)),ROWS($A$23:$A35))),"")</f>
        <v/>
      </c>
      <c r="N35"/>
      <c r="O35"/>
      <c r="P35"/>
      <c r="Q35"/>
      <c r="R35"/>
      <c r="T35"/>
      <c r="U35"/>
    </row>
    <row r="36" spans="1:21" x14ac:dyDescent="0.25">
      <c r="A36" s="150">
        <v>2018</v>
      </c>
      <c r="B36" s="151" t="s">
        <v>39</v>
      </c>
      <c r="C36" s="146">
        <f t="shared" si="3"/>
        <v>6</v>
      </c>
      <c r="D36" s="13">
        <f t="shared" si="2"/>
        <v>9</v>
      </c>
      <c r="E36" s="13">
        <f t="shared" si="2"/>
        <v>6</v>
      </c>
      <c r="F36" s="141" t="b">
        <f t="shared" si="4"/>
        <v>1</v>
      </c>
      <c r="I36" s="139" t="str">
        <f>IFERROR(INDEX($A$23:$A$37&amp;" "&amp;$B$23:$B$37,_xlfn.AGGREGATE(15,3,1/($F$23:$F$37=FALSE)*(ROW($A$23:$A$37)-ROW($A$22)),ROWS($A$23:$A36))),"")</f>
        <v/>
      </c>
      <c r="N36"/>
      <c r="O36"/>
      <c r="P36"/>
      <c r="Q36"/>
      <c r="R36"/>
      <c r="T36"/>
      <c r="U36"/>
    </row>
    <row r="37" spans="1:21" ht="15.75" thickBot="1" x14ac:dyDescent="0.3">
      <c r="A37" s="152">
        <v>2018</v>
      </c>
      <c r="B37" s="153" t="s">
        <v>14</v>
      </c>
      <c r="C37" s="147">
        <f t="shared" si="3"/>
        <v>7</v>
      </c>
      <c r="D37" s="142">
        <f t="shared" si="2"/>
        <v>5</v>
      </c>
      <c r="E37" s="142">
        <f t="shared" si="2"/>
        <v>2</v>
      </c>
      <c r="F37" s="143" t="b">
        <f t="shared" si="4"/>
        <v>1</v>
      </c>
      <c r="I37" s="140" t="str">
        <f>IFERROR(INDEX($A$23:$A$37&amp;" "&amp;$B$23:$B$37,_xlfn.AGGREGATE(15,3,1/($F$23:$F$37=FALSE)*(ROW($A$23:$A$37)-ROW($A$22)),ROWS($A$23:$A37))),"")</f>
        <v/>
      </c>
      <c r="P37"/>
      <c r="Q37"/>
      <c r="R37"/>
      <c r="T37"/>
      <c r="U37"/>
    </row>
    <row r="38" spans="1:21" x14ac:dyDescent="0.25">
      <c r="N38"/>
      <c r="O38"/>
      <c r="P38"/>
      <c r="Q38"/>
      <c r="R38"/>
      <c r="T38"/>
      <c r="U38"/>
    </row>
    <row r="39" spans="1:21" x14ac:dyDescent="0.25">
      <c r="N39"/>
      <c r="O39"/>
      <c r="P39"/>
      <c r="Q39"/>
      <c r="R39"/>
      <c r="T39"/>
      <c r="U39"/>
    </row>
    <row r="40" spans="1:21" x14ac:dyDescent="0.25">
      <c r="N40"/>
      <c r="O40"/>
      <c r="P40"/>
      <c r="Q40"/>
      <c r="R40"/>
      <c r="T40"/>
      <c r="U40"/>
    </row>
    <row r="41" spans="1:21" x14ac:dyDescent="0.25">
      <c r="A41" s="12" t="s">
        <v>44</v>
      </c>
      <c r="B41" s="12" t="s">
        <v>29</v>
      </c>
      <c r="C41" s="12" t="s">
        <v>30</v>
      </c>
      <c r="D41" s="12" t="s">
        <v>31</v>
      </c>
      <c r="E41" s="12" t="s">
        <v>45</v>
      </c>
      <c r="F41" s="12" t="s">
        <v>35</v>
      </c>
      <c r="G41" s="12" t="s">
        <v>32</v>
      </c>
      <c r="H41" s="12" t="s">
        <v>36</v>
      </c>
      <c r="I41" s="12" t="s">
        <v>33</v>
      </c>
      <c r="J41" s="12" t="s">
        <v>46</v>
      </c>
      <c r="K41" s="12" t="s">
        <v>47</v>
      </c>
      <c r="L41" s="12" t="s">
        <v>34</v>
      </c>
      <c r="N41"/>
      <c r="O41"/>
      <c r="P41"/>
      <c r="Q41"/>
      <c r="R41"/>
      <c r="T41"/>
      <c r="U41"/>
    </row>
    <row r="42" spans="1:21" x14ac:dyDescent="0.25">
      <c r="A42" s="16" t="s">
        <v>13</v>
      </c>
      <c r="B42" s="17">
        <v>2016</v>
      </c>
      <c r="C42" s="17" t="s">
        <v>37</v>
      </c>
      <c r="D42" s="17" t="s">
        <v>14</v>
      </c>
      <c r="E42" s="17" t="s">
        <v>48</v>
      </c>
      <c r="F42" s="17">
        <v>7119</v>
      </c>
      <c r="G42" s="17">
        <v>8530</v>
      </c>
      <c r="H42" s="17">
        <v>4471</v>
      </c>
      <c r="I42" s="17">
        <v>8534</v>
      </c>
      <c r="J42" s="17">
        <v>7839</v>
      </c>
      <c r="K42" s="17">
        <v>9871</v>
      </c>
      <c r="L42" s="18">
        <v>6571</v>
      </c>
      <c r="N42"/>
      <c r="O42"/>
      <c r="P42"/>
      <c r="Q42"/>
      <c r="R42"/>
      <c r="T42"/>
      <c r="U42"/>
    </row>
    <row r="43" spans="1:21" x14ac:dyDescent="0.25">
      <c r="A43" s="19" t="s">
        <v>5</v>
      </c>
      <c r="B43" s="15">
        <v>2018</v>
      </c>
      <c r="C43" s="15" t="s">
        <v>43</v>
      </c>
      <c r="D43" s="15" t="s">
        <v>14</v>
      </c>
      <c r="E43" s="15" t="s">
        <v>48</v>
      </c>
      <c r="F43" s="15">
        <v>4599</v>
      </c>
      <c r="G43" s="15">
        <v>5172</v>
      </c>
      <c r="H43" s="15">
        <v>6068</v>
      </c>
      <c r="I43" s="15">
        <v>4389</v>
      </c>
      <c r="J43" s="15">
        <v>8973</v>
      </c>
      <c r="K43" s="15">
        <v>3070</v>
      </c>
      <c r="L43" s="20">
        <v>348</v>
      </c>
      <c r="N43"/>
      <c r="O43"/>
      <c r="P43"/>
      <c r="Q43"/>
      <c r="R43"/>
      <c r="T43"/>
      <c r="U43"/>
    </row>
    <row r="44" spans="1:21" x14ac:dyDescent="0.25">
      <c r="A44" s="19" t="s">
        <v>5</v>
      </c>
      <c r="B44" s="15">
        <v>2016</v>
      </c>
      <c r="C44" s="15" t="s">
        <v>42</v>
      </c>
      <c r="D44" s="15" t="s">
        <v>14</v>
      </c>
      <c r="E44" s="15" t="s">
        <v>48</v>
      </c>
      <c r="F44" s="15">
        <v>3056</v>
      </c>
      <c r="G44" s="15">
        <v>8972</v>
      </c>
      <c r="H44" s="15">
        <v>2399</v>
      </c>
      <c r="I44" s="15">
        <v>8962</v>
      </c>
      <c r="J44" s="15">
        <v>6420</v>
      </c>
      <c r="K44" s="15">
        <v>6280</v>
      </c>
      <c r="L44" s="20">
        <v>7814</v>
      </c>
      <c r="P44"/>
      <c r="Q44"/>
      <c r="R44"/>
      <c r="T44"/>
      <c r="U44"/>
    </row>
    <row r="45" spans="1:21" x14ac:dyDescent="0.25">
      <c r="A45" s="19" t="s">
        <v>8</v>
      </c>
      <c r="B45" s="15">
        <v>2017</v>
      </c>
      <c r="C45" s="15" t="s">
        <v>40</v>
      </c>
      <c r="D45" s="15" t="s">
        <v>39</v>
      </c>
      <c r="E45" s="15" t="s">
        <v>49</v>
      </c>
      <c r="F45" s="15">
        <v>286</v>
      </c>
      <c r="G45" s="15">
        <v>5105</v>
      </c>
      <c r="H45" s="15">
        <v>1589</v>
      </c>
      <c r="I45" s="15">
        <v>3903</v>
      </c>
      <c r="J45" s="15">
        <v>6894</v>
      </c>
      <c r="K45" s="15">
        <v>4471</v>
      </c>
      <c r="L45" s="20">
        <v>8915</v>
      </c>
      <c r="P45"/>
      <c r="Q45"/>
      <c r="R45"/>
      <c r="T45"/>
      <c r="U45"/>
    </row>
    <row r="46" spans="1:21" x14ac:dyDescent="0.25">
      <c r="A46" s="19" t="s">
        <v>4</v>
      </c>
      <c r="B46" s="15">
        <v>2016</v>
      </c>
      <c r="C46" s="15" t="s">
        <v>40</v>
      </c>
      <c r="D46" s="15" t="s">
        <v>39</v>
      </c>
      <c r="E46" s="15" t="s">
        <v>49</v>
      </c>
      <c r="F46" s="15">
        <v>6293</v>
      </c>
      <c r="G46" s="15">
        <v>6786</v>
      </c>
      <c r="H46" s="15">
        <v>5663</v>
      </c>
      <c r="I46" s="15">
        <v>1988</v>
      </c>
      <c r="J46" s="15">
        <v>7828</v>
      </c>
      <c r="K46" s="15">
        <v>7148</v>
      </c>
      <c r="L46" s="20">
        <v>4935</v>
      </c>
      <c r="P46"/>
      <c r="Q46"/>
      <c r="R46"/>
      <c r="T46"/>
      <c r="U46"/>
    </row>
    <row r="47" spans="1:21" x14ac:dyDescent="0.25">
      <c r="A47" s="19" t="s">
        <v>4</v>
      </c>
      <c r="B47" s="15">
        <v>2016</v>
      </c>
      <c r="C47" s="15" t="s">
        <v>42</v>
      </c>
      <c r="D47" s="15" t="s">
        <v>14</v>
      </c>
      <c r="E47" s="15" t="s">
        <v>48</v>
      </c>
      <c r="F47" s="15">
        <v>6656</v>
      </c>
      <c r="G47" s="15">
        <v>6790</v>
      </c>
      <c r="H47" s="15">
        <v>2183</v>
      </c>
      <c r="I47" s="15">
        <v>9368</v>
      </c>
      <c r="J47" s="15">
        <v>1168</v>
      </c>
      <c r="K47" s="15">
        <v>8669</v>
      </c>
      <c r="L47" s="20">
        <v>974</v>
      </c>
      <c r="P47"/>
      <c r="Q47"/>
      <c r="R47"/>
      <c r="T47"/>
      <c r="U47"/>
    </row>
    <row r="48" spans="1:21" x14ac:dyDescent="0.25">
      <c r="A48" s="19" t="s">
        <v>5</v>
      </c>
      <c r="B48" s="15">
        <v>2014</v>
      </c>
      <c r="C48" s="15" t="s">
        <v>42</v>
      </c>
      <c r="D48" s="15" t="s">
        <v>14</v>
      </c>
      <c r="E48" s="15" t="s">
        <v>48</v>
      </c>
      <c r="F48" s="15">
        <v>7046</v>
      </c>
      <c r="G48" s="15">
        <v>5409</v>
      </c>
      <c r="H48" s="15">
        <v>5336</v>
      </c>
      <c r="I48" s="15">
        <v>7517</v>
      </c>
      <c r="J48" s="15">
        <v>5608</v>
      </c>
      <c r="K48" s="15">
        <v>1250</v>
      </c>
      <c r="L48" s="20">
        <v>2178</v>
      </c>
      <c r="P48"/>
      <c r="Q48"/>
      <c r="R48"/>
      <c r="T48"/>
      <c r="U48"/>
    </row>
    <row r="49" spans="1:21" x14ac:dyDescent="0.25">
      <c r="A49" s="19" t="s">
        <v>13</v>
      </c>
      <c r="B49" s="15">
        <v>2017</v>
      </c>
      <c r="C49" s="15" t="s">
        <v>38</v>
      </c>
      <c r="D49" s="15" t="s">
        <v>14</v>
      </c>
      <c r="E49" s="15" t="s">
        <v>50</v>
      </c>
      <c r="F49" s="15">
        <v>5419</v>
      </c>
      <c r="G49" s="15">
        <v>402</v>
      </c>
      <c r="H49" s="15">
        <v>9826</v>
      </c>
      <c r="I49" s="15">
        <v>6913</v>
      </c>
      <c r="J49" s="15">
        <v>2660</v>
      </c>
      <c r="K49" s="15">
        <v>7676</v>
      </c>
      <c r="L49" s="20">
        <v>6525</v>
      </c>
      <c r="P49"/>
      <c r="Q49"/>
      <c r="R49"/>
      <c r="T49"/>
      <c r="U49"/>
    </row>
    <row r="50" spans="1:21" x14ac:dyDescent="0.25">
      <c r="A50" s="19" t="s">
        <v>2</v>
      </c>
      <c r="B50" s="15">
        <v>2018</v>
      </c>
      <c r="C50" s="15" t="s">
        <v>42</v>
      </c>
      <c r="D50" s="15" t="s">
        <v>41</v>
      </c>
      <c r="E50" s="15" t="s">
        <v>48</v>
      </c>
      <c r="F50" s="15">
        <v>3296</v>
      </c>
      <c r="G50" s="15">
        <v>8582</v>
      </c>
      <c r="H50" s="15">
        <v>1268</v>
      </c>
      <c r="I50" s="15">
        <v>7086</v>
      </c>
      <c r="J50" s="15">
        <v>8269</v>
      </c>
      <c r="K50" s="15">
        <v>8819</v>
      </c>
      <c r="L50" s="20">
        <v>3700</v>
      </c>
      <c r="P50"/>
      <c r="Q50"/>
      <c r="R50"/>
      <c r="T50"/>
      <c r="U50"/>
    </row>
    <row r="51" spans="1:21" x14ac:dyDescent="0.25">
      <c r="A51" s="19" t="s">
        <v>4</v>
      </c>
      <c r="B51" s="15">
        <v>2017</v>
      </c>
      <c r="C51" s="15" t="s">
        <v>37</v>
      </c>
      <c r="D51" s="15" t="s">
        <v>41</v>
      </c>
      <c r="E51" s="15" t="s">
        <v>49</v>
      </c>
      <c r="F51" s="15">
        <v>7173</v>
      </c>
      <c r="G51" s="15">
        <v>6012</v>
      </c>
      <c r="H51" s="15">
        <v>6159</v>
      </c>
      <c r="I51" s="15">
        <v>1958</v>
      </c>
      <c r="J51" s="15">
        <v>3575</v>
      </c>
      <c r="K51" s="15">
        <v>5108</v>
      </c>
      <c r="L51" s="20">
        <v>7849</v>
      </c>
      <c r="P51"/>
      <c r="Q51"/>
      <c r="R51"/>
      <c r="T51"/>
      <c r="U51"/>
    </row>
    <row r="52" spans="1:21" x14ac:dyDescent="0.25">
      <c r="A52" s="19" t="s">
        <v>4</v>
      </c>
      <c r="B52" s="15">
        <v>2014</v>
      </c>
      <c r="C52" s="15" t="s">
        <v>42</v>
      </c>
      <c r="D52" s="15" t="s">
        <v>41</v>
      </c>
      <c r="E52" s="15" t="s">
        <v>49</v>
      </c>
      <c r="F52" s="15">
        <v>5367</v>
      </c>
      <c r="G52" s="15">
        <v>8286</v>
      </c>
      <c r="H52" s="15">
        <v>9188</v>
      </c>
      <c r="I52" s="15">
        <v>2608</v>
      </c>
      <c r="J52" s="15">
        <v>5777</v>
      </c>
      <c r="K52" s="15">
        <v>5295</v>
      </c>
      <c r="L52" s="20">
        <v>370</v>
      </c>
      <c r="P52"/>
      <c r="Q52"/>
      <c r="R52"/>
      <c r="T52"/>
      <c r="U52"/>
    </row>
    <row r="53" spans="1:21" x14ac:dyDescent="0.25">
      <c r="A53" s="19" t="s">
        <v>2</v>
      </c>
      <c r="B53" s="15">
        <v>2016</v>
      </c>
      <c r="C53" s="15" t="s">
        <v>38</v>
      </c>
      <c r="D53" s="15" t="s">
        <v>41</v>
      </c>
      <c r="E53" s="15" t="s">
        <v>50</v>
      </c>
      <c r="F53" s="15">
        <v>4844</v>
      </c>
      <c r="G53" s="15">
        <v>8112</v>
      </c>
      <c r="H53" s="15">
        <v>7872</v>
      </c>
      <c r="I53" s="15">
        <v>1737</v>
      </c>
      <c r="J53" s="15">
        <v>8113</v>
      </c>
      <c r="K53" s="15">
        <v>8528</v>
      </c>
      <c r="L53" s="20">
        <v>9202</v>
      </c>
      <c r="P53"/>
      <c r="Q53"/>
      <c r="R53"/>
      <c r="T53"/>
      <c r="U53"/>
    </row>
    <row r="54" spans="1:21" x14ac:dyDescent="0.25">
      <c r="A54" s="19" t="s">
        <v>12</v>
      </c>
      <c r="B54" s="15">
        <v>2017</v>
      </c>
      <c r="C54" s="15" t="s">
        <v>37</v>
      </c>
      <c r="D54" s="15" t="s">
        <v>39</v>
      </c>
      <c r="E54" s="15" t="s">
        <v>48</v>
      </c>
      <c r="F54" s="15">
        <v>9587</v>
      </c>
      <c r="G54" s="15">
        <v>7422</v>
      </c>
      <c r="H54" s="15">
        <v>6093</v>
      </c>
      <c r="I54" s="15">
        <v>242</v>
      </c>
      <c r="J54" s="15">
        <v>2441</v>
      </c>
      <c r="K54" s="15">
        <v>1981</v>
      </c>
      <c r="L54" s="20">
        <v>9275</v>
      </c>
      <c r="P54"/>
      <c r="Q54"/>
      <c r="R54"/>
      <c r="T54"/>
      <c r="U54"/>
    </row>
    <row r="55" spans="1:21" x14ac:dyDescent="0.25">
      <c r="A55" s="19" t="s">
        <v>4</v>
      </c>
      <c r="B55" s="15">
        <v>2018</v>
      </c>
      <c r="C55" s="15" t="s">
        <v>37</v>
      </c>
      <c r="D55" s="15" t="s">
        <v>39</v>
      </c>
      <c r="E55" s="15" t="s">
        <v>48</v>
      </c>
      <c r="F55" s="15">
        <v>2650</v>
      </c>
      <c r="G55" s="15">
        <v>4524</v>
      </c>
      <c r="H55" s="15">
        <v>5104</v>
      </c>
      <c r="I55" s="15">
        <v>699</v>
      </c>
      <c r="J55" s="15">
        <v>6439</v>
      </c>
      <c r="K55" s="15">
        <v>1986</v>
      </c>
      <c r="L55" s="20">
        <v>7144</v>
      </c>
      <c r="P55"/>
      <c r="Q55"/>
      <c r="R55"/>
      <c r="T55"/>
      <c r="U55"/>
    </row>
    <row r="56" spans="1:21" x14ac:dyDescent="0.25">
      <c r="A56" s="19" t="s">
        <v>13</v>
      </c>
      <c r="B56" s="15">
        <v>2014</v>
      </c>
      <c r="C56" s="15" t="s">
        <v>43</v>
      </c>
      <c r="D56" s="15" t="s">
        <v>41</v>
      </c>
      <c r="E56" s="15" t="s">
        <v>48</v>
      </c>
      <c r="F56" s="15">
        <v>1645</v>
      </c>
      <c r="G56" s="15">
        <v>5906</v>
      </c>
      <c r="H56" s="15">
        <v>430</v>
      </c>
      <c r="I56" s="15">
        <v>5730</v>
      </c>
      <c r="J56" s="15">
        <v>9213</v>
      </c>
      <c r="K56" s="15">
        <v>945</v>
      </c>
      <c r="L56" s="20">
        <v>379</v>
      </c>
      <c r="P56"/>
      <c r="Q56"/>
      <c r="R56"/>
      <c r="T56"/>
      <c r="U56"/>
    </row>
    <row r="57" spans="1:21" x14ac:dyDescent="0.25">
      <c r="A57" s="19" t="s">
        <v>2</v>
      </c>
      <c r="B57" s="15">
        <v>2018</v>
      </c>
      <c r="C57" s="15" t="s">
        <v>43</v>
      </c>
      <c r="D57" s="15" t="s">
        <v>14</v>
      </c>
      <c r="E57" s="15" t="s">
        <v>50</v>
      </c>
      <c r="F57" s="15">
        <v>3638</v>
      </c>
      <c r="G57" s="15">
        <v>8143</v>
      </c>
      <c r="H57" s="15">
        <v>9261</v>
      </c>
      <c r="I57" s="15">
        <v>5208</v>
      </c>
      <c r="J57" s="15">
        <v>2181</v>
      </c>
      <c r="K57" s="15">
        <v>6499</v>
      </c>
      <c r="L57" s="20">
        <v>858</v>
      </c>
      <c r="P57"/>
      <c r="Q57"/>
      <c r="R57"/>
      <c r="T57"/>
      <c r="U57"/>
    </row>
    <row r="58" spans="1:21" x14ac:dyDescent="0.25">
      <c r="A58" s="19" t="s">
        <v>8</v>
      </c>
      <c r="B58" s="15">
        <v>2014</v>
      </c>
      <c r="C58" s="15" t="s">
        <v>42</v>
      </c>
      <c r="D58" s="15" t="s">
        <v>41</v>
      </c>
      <c r="E58" s="15" t="s">
        <v>48</v>
      </c>
      <c r="F58" s="15">
        <v>3046</v>
      </c>
      <c r="G58" s="15">
        <v>3235</v>
      </c>
      <c r="H58" s="15">
        <v>1184</v>
      </c>
      <c r="I58" s="15">
        <v>8126</v>
      </c>
      <c r="J58" s="15">
        <v>2115</v>
      </c>
      <c r="K58" s="15">
        <v>149</v>
      </c>
      <c r="L58" s="20">
        <v>4563</v>
      </c>
      <c r="P58"/>
      <c r="Q58"/>
      <c r="R58"/>
      <c r="T58"/>
      <c r="U58"/>
    </row>
    <row r="59" spans="1:21" x14ac:dyDescent="0.25">
      <c r="A59" s="19" t="s">
        <v>13</v>
      </c>
      <c r="B59" s="15">
        <v>2015</v>
      </c>
      <c r="C59" s="15" t="s">
        <v>37</v>
      </c>
      <c r="D59" s="15" t="s">
        <v>39</v>
      </c>
      <c r="E59" s="15" t="s">
        <v>49</v>
      </c>
      <c r="F59" s="15">
        <v>367</v>
      </c>
      <c r="G59" s="15">
        <v>1423</v>
      </c>
      <c r="H59" s="15">
        <v>8530</v>
      </c>
      <c r="I59" s="15">
        <v>5731</v>
      </c>
      <c r="J59" s="15">
        <v>4473</v>
      </c>
      <c r="K59" s="15">
        <v>1411</v>
      </c>
      <c r="L59" s="20">
        <v>6926</v>
      </c>
      <c r="P59"/>
      <c r="Q59"/>
      <c r="R59"/>
      <c r="T59"/>
      <c r="U59"/>
    </row>
    <row r="60" spans="1:21" x14ac:dyDescent="0.25">
      <c r="A60" s="19" t="s">
        <v>12</v>
      </c>
      <c r="B60" s="15">
        <v>2017</v>
      </c>
      <c r="C60" s="15" t="s">
        <v>37</v>
      </c>
      <c r="D60" s="15" t="s">
        <v>39</v>
      </c>
      <c r="E60" s="15" t="s">
        <v>49</v>
      </c>
      <c r="F60" s="15">
        <v>3027</v>
      </c>
      <c r="G60" s="15">
        <v>5006</v>
      </c>
      <c r="H60" s="15">
        <v>8212</v>
      </c>
      <c r="I60" s="15">
        <v>4451</v>
      </c>
      <c r="J60" s="15">
        <v>3033</v>
      </c>
      <c r="K60" s="15">
        <v>9327</v>
      </c>
      <c r="L60" s="20">
        <v>5986</v>
      </c>
      <c r="N60"/>
      <c r="O60"/>
      <c r="P60"/>
      <c r="Q60"/>
      <c r="R60"/>
      <c r="T60"/>
      <c r="U60"/>
    </row>
    <row r="61" spans="1:21" x14ac:dyDescent="0.25">
      <c r="A61" s="19" t="s">
        <v>11</v>
      </c>
      <c r="B61" s="15">
        <v>2016</v>
      </c>
      <c r="C61" s="15" t="s">
        <v>37</v>
      </c>
      <c r="D61" s="15" t="s">
        <v>14</v>
      </c>
      <c r="E61" s="15" t="s">
        <v>49</v>
      </c>
      <c r="F61" s="15">
        <v>1704</v>
      </c>
      <c r="G61" s="15">
        <v>3820</v>
      </c>
      <c r="H61" s="15">
        <v>665</v>
      </c>
      <c r="I61" s="15">
        <v>8068</v>
      </c>
      <c r="J61" s="15">
        <v>8036</v>
      </c>
      <c r="K61" s="15">
        <v>9440</v>
      </c>
      <c r="L61" s="20">
        <v>2426</v>
      </c>
      <c r="N61"/>
      <c r="O61"/>
      <c r="P61"/>
      <c r="Q61"/>
      <c r="R61"/>
      <c r="T61"/>
      <c r="U61"/>
    </row>
    <row r="62" spans="1:21" x14ac:dyDescent="0.25">
      <c r="A62" s="19" t="s">
        <v>6</v>
      </c>
      <c r="B62" s="15">
        <v>2016</v>
      </c>
      <c r="C62" s="15" t="s">
        <v>42</v>
      </c>
      <c r="D62" s="15" t="s">
        <v>14</v>
      </c>
      <c r="E62" s="15" t="s">
        <v>49</v>
      </c>
      <c r="F62" s="15">
        <v>9188</v>
      </c>
      <c r="G62" s="15">
        <v>6777</v>
      </c>
      <c r="H62" s="15">
        <v>5351</v>
      </c>
      <c r="I62" s="15">
        <v>7084</v>
      </c>
      <c r="J62" s="15">
        <v>2177</v>
      </c>
      <c r="K62" s="15">
        <v>9486</v>
      </c>
      <c r="L62" s="20">
        <v>3834</v>
      </c>
      <c r="N62"/>
      <c r="O62"/>
      <c r="P62"/>
      <c r="Q62"/>
      <c r="R62"/>
      <c r="T62"/>
      <c r="U62"/>
    </row>
    <row r="63" spans="1:21" x14ac:dyDescent="0.25">
      <c r="A63" s="19" t="s">
        <v>13</v>
      </c>
      <c r="B63" s="15">
        <v>2015</v>
      </c>
      <c r="C63" s="15" t="s">
        <v>38</v>
      </c>
      <c r="D63" s="15" t="s">
        <v>41</v>
      </c>
      <c r="E63" s="15" t="s">
        <v>49</v>
      </c>
      <c r="F63" s="15">
        <v>2567</v>
      </c>
      <c r="G63" s="15">
        <v>7497</v>
      </c>
      <c r="H63" s="15">
        <v>9749</v>
      </c>
      <c r="I63" s="15">
        <v>9529</v>
      </c>
      <c r="J63" s="15">
        <v>4566</v>
      </c>
      <c r="K63" s="15">
        <v>9456</v>
      </c>
      <c r="L63" s="20">
        <v>9163</v>
      </c>
      <c r="N63"/>
      <c r="O63"/>
      <c r="P63"/>
      <c r="Q63"/>
      <c r="R63"/>
      <c r="T63"/>
      <c r="U63"/>
    </row>
    <row r="64" spans="1:21" x14ac:dyDescent="0.25">
      <c r="A64" s="19" t="s">
        <v>6</v>
      </c>
      <c r="B64" s="15">
        <v>2014</v>
      </c>
      <c r="C64" s="15" t="s">
        <v>37</v>
      </c>
      <c r="D64" s="15" t="s">
        <v>39</v>
      </c>
      <c r="E64" s="15" t="s">
        <v>48</v>
      </c>
      <c r="F64" s="15">
        <v>4232</v>
      </c>
      <c r="G64" s="15">
        <v>6811</v>
      </c>
      <c r="H64" s="15">
        <v>5322</v>
      </c>
      <c r="I64" s="15">
        <v>8743</v>
      </c>
      <c r="J64" s="15">
        <v>3213</v>
      </c>
      <c r="K64" s="15">
        <v>3741</v>
      </c>
      <c r="L64" s="20">
        <v>7746</v>
      </c>
      <c r="N64"/>
      <c r="O64"/>
      <c r="P64"/>
      <c r="Q64"/>
      <c r="R64"/>
      <c r="T64"/>
      <c r="U64"/>
    </row>
    <row r="65" spans="1:21" x14ac:dyDescent="0.25">
      <c r="A65" s="19" t="s">
        <v>5</v>
      </c>
      <c r="B65" s="15">
        <v>2016</v>
      </c>
      <c r="C65" s="15" t="s">
        <v>38</v>
      </c>
      <c r="D65" s="15" t="s">
        <v>39</v>
      </c>
      <c r="E65" s="15" t="s">
        <v>48</v>
      </c>
      <c r="F65" s="15">
        <v>8061</v>
      </c>
      <c r="G65" s="15">
        <v>9924</v>
      </c>
      <c r="H65" s="15">
        <v>2477</v>
      </c>
      <c r="I65" s="15">
        <v>8248</v>
      </c>
      <c r="J65" s="15">
        <v>3444</v>
      </c>
      <c r="K65" s="15">
        <v>9808</v>
      </c>
      <c r="L65" s="20">
        <v>1749</v>
      </c>
      <c r="N65"/>
      <c r="O65"/>
      <c r="P65"/>
      <c r="Q65"/>
      <c r="R65"/>
      <c r="T65"/>
      <c r="U65"/>
    </row>
    <row r="66" spans="1:21" x14ac:dyDescent="0.25">
      <c r="A66" s="19" t="s">
        <v>5</v>
      </c>
      <c r="B66" s="15">
        <v>2015</v>
      </c>
      <c r="C66" s="15" t="s">
        <v>42</v>
      </c>
      <c r="D66" s="15" t="s">
        <v>39</v>
      </c>
      <c r="E66" s="15" t="s">
        <v>50</v>
      </c>
      <c r="F66" s="15">
        <v>2673</v>
      </c>
      <c r="G66" s="15">
        <v>2070</v>
      </c>
      <c r="H66" s="15">
        <v>3581</v>
      </c>
      <c r="I66" s="15">
        <v>6955</v>
      </c>
      <c r="J66" s="15">
        <v>7443</v>
      </c>
      <c r="K66" s="15">
        <v>2399</v>
      </c>
      <c r="L66" s="20">
        <v>7175</v>
      </c>
      <c r="N66"/>
      <c r="O66"/>
      <c r="P66"/>
      <c r="Q66"/>
      <c r="R66"/>
      <c r="T66"/>
      <c r="U66"/>
    </row>
    <row r="67" spans="1:21" x14ac:dyDescent="0.25">
      <c r="A67" s="19" t="s">
        <v>13</v>
      </c>
      <c r="B67" s="15">
        <v>2016</v>
      </c>
      <c r="C67" s="15" t="s">
        <v>43</v>
      </c>
      <c r="D67" s="15" t="s">
        <v>41</v>
      </c>
      <c r="E67" s="15" t="s">
        <v>48</v>
      </c>
      <c r="F67" s="15">
        <v>5570</v>
      </c>
      <c r="G67" s="15">
        <v>4082</v>
      </c>
      <c r="H67" s="15">
        <v>936</v>
      </c>
      <c r="I67" s="15">
        <v>3119</v>
      </c>
      <c r="J67" s="15">
        <v>9185</v>
      </c>
      <c r="K67" s="15">
        <v>8897</v>
      </c>
      <c r="L67" s="20">
        <v>9009</v>
      </c>
      <c r="N67"/>
      <c r="O67"/>
      <c r="P67"/>
      <c r="Q67"/>
      <c r="R67"/>
      <c r="T67"/>
      <c r="U67"/>
    </row>
    <row r="68" spans="1:21" x14ac:dyDescent="0.25">
      <c r="A68" s="19" t="s">
        <v>13</v>
      </c>
      <c r="B68" s="15">
        <v>2016</v>
      </c>
      <c r="C68" s="15" t="s">
        <v>37</v>
      </c>
      <c r="D68" s="15" t="s">
        <v>14</v>
      </c>
      <c r="E68" s="15" t="s">
        <v>50</v>
      </c>
      <c r="F68" s="15">
        <v>6621</v>
      </c>
      <c r="G68" s="15">
        <v>7698</v>
      </c>
      <c r="H68" s="15">
        <v>9652</v>
      </c>
      <c r="I68" s="15">
        <v>2521</v>
      </c>
      <c r="J68" s="15">
        <v>5792</v>
      </c>
      <c r="K68" s="15">
        <v>1785</v>
      </c>
      <c r="L68" s="20">
        <v>8208</v>
      </c>
      <c r="N68"/>
      <c r="O68"/>
      <c r="P68"/>
      <c r="Q68"/>
      <c r="R68"/>
      <c r="T68"/>
      <c r="U68"/>
    </row>
    <row r="69" spans="1:21" x14ac:dyDescent="0.25">
      <c r="A69" s="19" t="s">
        <v>8</v>
      </c>
      <c r="B69" s="15">
        <v>2015</v>
      </c>
      <c r="C69" s="15" t="s">
        <v>42</v>
      </c>
      <c r="D69" s="15" t="s">
        <v>41</v>
      </c>
      <c r="E69" s="15" t="s">
        <v>49</v>
      </c>
      <c r="F69" s="15">
        <v>977</v>
      </c>
      <c r="G69" s="15">
        <v>6508</v>
      </c>
      <c r="H69" s="15">
        <v>6675</v>
      </c>
      <c r="I69" s="15">
        <v>4540</v>
      </c>
      <c r="J69" s="15">
        <v>4619</v>
      </c>
      <c r="K69" s="15">
        <v>4328</v>
      </c>
      <c r="L69" s="20">
        <v>7951</v>
      </c>
      <c r="N69"/>
      <c r="O69"/>
      <c r="P69"/>
      <c r="Q69"/>
      <c r="R69"/>
      <c r="T69"/>
      <c r="U69"/>
    </row>
    <row r="70" spans="1:21" x14ac:dyDescent="0.25">
      <c r="A70" s="19" t="s">
        <v>11</v>
      </c>
      <c r="B70" s="15">
        <v>2017</v>
      </c>
      <c r="C70" s="15" t="s">
        <v>40</v>
      </c>
      <c r="D70" s="15" t="s">
        <v>14</v>
      </c>
      <c r="E70" s="15" t="s">
        <v>49</v>
      </c>
      <c r="F70" s="15">
        <v>7174</v>
      </c>
      <c r="G70" s="15">
        <v>3944</v>
      </c>
      <c r="H70" s="15">
        <v>9045</v>
      </c>
      <c r="I70" s="15">
        <v>435</v>
      </c>
      <c r="J70" s="15">
        <v>7004</v>
      </c>
      <c r="K70" s="15">
        <v>8611</v>
      </c>
      <c r="L70" s="20">
        <v>9732</v>
      </c>
      <c r="N70"/>
      <c r="O70"/>
      <c r="P70"/>
      <c r="Q70"/>
      <c r="R70"/>
      <c r="T70"/>
      <c r="U70"/>
    </row>
    <row r="71" spans="1:21" x14ac:dyDescent="0.25">
      <c r="A71" s="19" t="s">
        <v>12</v>
      </c>
      <c r="B71" s="15">
        <v>2014</v>
      </c>
      <c r="C71" s="15" t="s">
        <v>43</v>
      </c>
      <c r="D71" s="15" t="s">
        <v>14</v>
      </c>
      <c r="E71" s="15" t="s">
        <v>50</v>
      </c>
      <c r="F71" s="15">
        <v>9332</v>
      </c>
      <c r="G71" s="15">
        <v>3692</v>
      </c>
      <c r="H71" s="15">
        <v>8202</v>
      </c>
      <c r="I71" s="15">
        <v>5336</v>
      </c>
      <c r="J71" s="15">
        <v>47</v>
      </c>
      <c r="K71" s="15">
        <v>8754</v>
      </c>
      <c r="L71" s="20">
        <v>8087</v>
      </c>
      <c r="N71"/>
      <c r="O71"/>
      <c r="P71"/>
      <c r="Q71"/>
      <c r="R71"/>
      <c r="T71"/>
      <c r="U71"/>
    </row>
    <row r="72" spans="1:21" x14ac:dyDescent="0.25">
      <c r="A72" s="19" t="s">
        <v>6</v>
      </c>
      <c r="B72" s="15">
        <v>2018</v>
      </c>
      <c r="C72" s="15" t="s">
        <v>40</v>
      </c>
      <c r="D72" s="15" t="s">
        <v>39</v>
      </c>
      <c r="E72" s="15" t="s">
        <v>48</v>
      </c>
      <c r="F72" s="15">
        <v>7436</v>
      </c>
      <c r="G72" s="15">
        <v>9504</v>
      </c>
      <c r="H72" s="15">
        <v>5561</v>
      </c>
      <c r="I72" s="15">
        <v>6011</v>
      </c>
      <c r="J72" s="15">
        <v>4256</v>
      </c>
      <c r="K72" s="15">
        <v>26</v>
      </c>
      <c r="L72" s="20">
        <v>3287</v>
      </c>
      <c r="N72"/>
      <c r="O72"/>
      <c r="P72"/>
      <c r="Q72"/>
      <c r="R72"/>
      <c r="T72"/>
      <c r="U72"/>
    </row>
    <row r="73" spans="1:21" x14ac:dyDescent="0.25">
      <c r="A73" s="19" t="s">
        <v>3</v>
      </c>
      <c r="B73" s="15">
        <v>2017</v>
      </c>
      <c r="C73" s="15" t="s">
        <v>40</v>
      </c>
      <c r="D73" s="15" t="s">
        <v>14</v>
      </c>
      <c r="E73" s="15" t="s">
        <v>49</v>
      </c>
      <c r="F73" s="15">
        <v>7394</v>
      </c>
      <c r="G73" s="15">
        <v>7867</v>
      </c>
      <c r="H73" s="15">
        <v>5020</v>
      </c>
      <c r="I73" s="15">
        <v>1252</v>
      </c>
      <c r="J73" s="15">
        <v>5622</v>
      </c>
      <c r="K73" s="15">
        <v>6707</v>
      </c>
      <c r="L73" s="20">
        <v>4076</v>
      </c>
      <c r="N73"/>
      <c r="O73"/>
      <c r="P73"/>
      <c r="Q73"/>
      <c r="R73"/>
      <c r="T73"/>
      <c r="U73"/>
    </row>
    <row r="74" spans="1:21" x14ac:dyDescent="0.25">
      <c r="A74" s="19" t="s">
        <v>5</v>
      </c>
      <c r="B74" s="15">
        <v>2018</v>
      </c>
      <c r="C74" s="15" t="s">
        <v>43</v>
      </c>
      <c r="D74" s="15" t="s">
        <v>14</v>
      </c>
      <c r="E74" s="15" t="s">
        <v>50</v>
      </c>
      <c r="F74" s="15">
        <v>7016</v>
      </c>
      <c r="G74" s="15">
        <v>5272</v>
      </c>
      <c r="H74" s="15">
        <v>2134</v>
      </c>
      <c r="I74" s="15">
        <v>4020</v>
      </c>
      <c r="J74" s="15">
        <v>770</v>
      </c>
      <c r="K74" s="15">
        <v>5218</v>
      </c>
      <c r="L74" s="20">
        <v>9940</v>
      </c>
      <c r="N74"/>
      <c r="O74"/>
      <c r="P74"/>
      <c r="Q74"/>
      <c r="R74"/>
      <c r="T74"/>
      <c r="U74"/>
    </row>
    <row r="75" spans="1:21" x14ac:dyDescent="0.25">
      <c r="A75" s="19" t="s">
        <v>3</v>
      </c>
      <c r="B75" s="15">
        <v>2017</v>
      </c>
      <c r="C75" s="15" t="s">
        <v>43</v>
      </c>
      <c r="D75" s="15" t="s">
        <v>39</v>
      </c>
      <c r="E75" s="15" t="s">
        <v>48</v>
      </c>
      <c r="F75" s="15">
        <v>3929</v>
      </c>
      <c r="G75" s="15">
        <v>4536</v>
      </c>
      <c r="H75" s="15">
        <v>6321</v>
      </c>
      <c r="I75" s="15">
        <v>8952</v>
      </c>
      <c r="J75" s="15">
        <v>4979</v>
      </c>
      <c r="K75" s="15">
        <v>6891</v>
      </c>
      <c r="L75" s="20">
        <v>9517</v>
      </c>
      <c r="N75"/>
      <c r="O75"/>
      <c r="P75"/>
      <c r="Q75"/>
      <c r="R75"/>
      <c r="T75"/>
      <c r="U75"/>
    </row>
    <row r="76" spans="1:21" x14ac:dyDescent="0.25">
      <c r="A76" s="19" t="s">
        <v>9</v>
      </c>
      <c r="B76" s="15">
        <v>2017</v>
      </c>
      <c r="C76" s="15" t="s">
        <v>38</v>
      </c>
      <c r="D76" s="15" t="s">
        <v>41</v>
      </c>
      <c r="E76" s="15" t="s">
        <v>50</v>
      </c>
      <c r="F76" s="15">
        <v>9395</v>
      </c>
      <c r="G76" s="15">
        <v>4191</v>
      </c>
      <c r="H76" s="15">
        <v>5627</v>
      </c>
      <c r="I76" s="15">
        <v>6580</v>
      </c>
      <c r="J76" s="15">
        <v>7709</v>
      </c>
      <c r="K76" s="15">
        <v>7764</v>
      </c>
      <c r="L76" s="20">
        <v>3941</v>
      </c>
      <c r="N76"/>
      <c r="O76"/>
      <c r="P76"/>
      <c r="Q76"/>
      <c r="R76"/>
      <c r="T76"/>
      <c r="U76"/>
    </row>
    <row r="77" spans="1:21" x14ac:dyDescent="0.25">
      <c r="A77" s="19" t="s">
        <v>8</v>
      </c>
      <c r="B77" s="15">
        <v>2016</v>
      </c>
      <c r="C77" s="15" t="s">
        <v>37</v>
      </c>
      <c r="D77" s="15" t="s">
        <v>14</v>
      </c>
      <c r="E77" s="15" t="s">
        <v>50</v>
      </c>
      <c r="F77" s="15">
        <v>4470</v>
      </c>
      <c r="G77" s="15">
        <v>9300</v>
      </c>
      <c r="H77" s="15">
        <v>3709</v>
      </c>
      <c r="I77" s="15">
        <v>1449</v>
      </c>
      <c r="J77" s="15">
        <v>4973</v>
      </c>
      <c r="K77" s="15">
        <v>7130</v>
      </c>
      <c r="L77" s="20">
        <v>9896</v>
      </c>
      <c r="N77"/>
      <c r="O77"/>
      <c r="P77"/>
      <c r="Q77"/>
      <c r="R77"/>
      <c r="T77"/>
      <c r="U77"/>
    </row>
    <row r="78" spans="1:21" x14ac:dyDescent="0.25">
      <c r="A78" s="19" t="s">
        <v>5</v>
      </c>
      <c r="B78" s="15">
        <v>2014</v>
      </c>
      <c r="C78" s="15" t="s">
        <v>37</v>
      </c>
      <c r="D78" s="15" t="s">
        <v>41</v>
      </c>
      <c r="E78" s="15" t="s">
        <v>49</v>
      </c>
      <c r="F78" s="15">
        <v>297</v>
      </c>
      <c r="G78" s="15">
        <v>4385</v>
      </c>
      <c r="H78" s="15">
        <v>9549</v>
      </c>
      <c r="I78" s="15">
        <v>3726</v>
      </c>
      <c r="J78" s="15">
        <v>7210</v>
      </c>
      <c r="K78" s="15">
        <v>2953</v>
      </c>
      <c r="L78" s="20">
        <v>5303</v>
      </c>
      <c r="N78"/>
      <c r="O78"/>
      <c r="P78"/>
      <c r="Q78"/>
      <c r="R78"/>
      <c r="T78"/>
      <c r="U78"/>
    </row>
    <row r="79" spans="1:21" x14ac:dyDescent="0.25">
      <c r="A79" s="19" t="s">
        <v>5</v>
      </c>
      <c r="B79" s="15">
        <v>2016</v>
      </c>
      <c r="C79" s="15" t="s">
        <v>40</v>
      </c>
      <c r="D79" s="15" t="s">
        <v>39</v>
      </c>
      <c r="E79" s="15" t="s">
        <v>48</v>
      </c>
      <c r="F79" s="15">
        <v>4917</v>
      </c>
      <c r="G79" s="15">
        <v>9503</v>
      </c>
      <c r="H79" s="15">
        <v>1223</v>
      </c>
      <c r="I79" s="15">
        <v>4713</v>
      </c>
      <c r="J79" s="15">
        <v>2931</v>
      </c>
      <c r="K79" s="15">
        <v>957</v>
      </c>
      <c r="L79" s="20">
        <v>7947</v>
      </c>
      <c r="N79"/>
      <c r="O79"/>
      <c r="P79"/>
      <c r="Q79"/>
      <c r="R79"/>
      <c r="T79"/>
      <c r="U79"/>
    </row>
    <row r="80" spans="1:21" x14ac:dyDescent="0.25">
      <c r="A80" s="19" t="s">
        <v>10</v>
      </c>
      <c r="B80" s="15">
        <v>2014</v>
      </c>
      <c r="C80" s="15" t="s">
        <v>38</v>
      </c>
      <c r="D80" s="15" t="s">
        <v>39</v>
      </c>
      <c r="E80" s="15" t="s">
        <v>50</v>
      </c>
      <c r="F80" s="15">
        <v>1932</v>
      </c>
      <c r="G80" s="15">
        <v>6912</v>
      </c>
      <c r="H80" s="15">
        <v>9383</v>
      </c>
      <c r="I80" s="15">
        <v>174</v>
      </c>
      <c r="J80" s="15">
        <v>6225</v>
      </c>
      <c r="K80" s="15">
        <v>9260</v>
      </c>
      <c r="L80" s="20">
        <v>4509</v>
      </c>
      <c r="N80"/>
      <c r="O80"/>
      <c r="P80"/>
      <c r="Q80"/>
      <c r="R80"/>
      <c r="T80"/>
      <c r="U80"/>
    </row>
    <row r="81" spans="1:21" x14ac:dyDescent="0.25">
      <c r="A81" s="19" t="s">
        <v>7</v>
      </c>
      <c r="B81" s="15">
        <v>2018</v>
      </c>
      <c r="C81" s="15" t="s">
        <v>42</v>
      </c>
      <c r="D81" s="15" t="s">
        <v>39</v>
      </c>
      <c r="E81" s="15" t="s">
        <v>49</v>
      </c>
      <c r="F81" s="15">
        <v>681</v>
      </c>
      <c r="G81" s="15">
        <v>4161</v>
      </c>
      <c r="H81" s="15">
        <v>856</v>
      </c>
      <c r="I81" s="15">
        <v>7098</v>
      </c>
      <c r="J81" s="15">
        <v>3274</v>
      </c>
      <c r="K81" s="15">
        <v>1397</v>
      </c>
      <c r="L81" s="20">
        <v>9311</v>
      </c>
      <c r="N81"/>
      <c r="O81"/>
      <c r="P81"/>
      <c r="Q81"/>
      <c r="R81"/>
      <c r="T81"/>
      <c r="U81"/>
    </row>
    <row r="82" spans="1:21" x14ac:dyDescent="0.25">
      <c r="A82" s="19" t="s">
        <v>5</v>
      </c>
      <c r="B82" s="15">
        <v>2018</v>
      </c>
      <c r="C82" s="15" t="s">
        <v>40</v>
      </c>
      <c r="D82" s="15" t="s">
        <v>39</v>
      </c>
      <c r="E82" s="15" t="s">
        <v>50</v>
      </c>
      <c r="F82" s="15">
        <v>1431</v>
      </c>
      <c r="G82" s="15">
        <v>935</v>
      </c>
      <c r="H82" s="15">
        <v>650</v>
      </c>
      <c r="I82" s="15">
        <v>1132</v>
      </c>
      <c r="J82" s="15">
        <v>9505</v>
      </c>
      <c r="K82" s="15">
        <v>3221</v>
      </c>
      <c r="L82" s="20">
        <v>3736</v>
      </c>
      <c r="N82"/>
      <c r="O82"/>
      <c r="P82"/>
      <c r="Q82"/>
      <c r="R82"/>
      <c r="T82"/>
      <c r="U82"/>
    </row>
    <row r="83" spans="1:21" x14ac:dyDescent="0.25">
      <c r="A83" s="19" t="s">
        <v>12</v>
      </c>
      <c r="B83" s="15">
        <v>2017</v>
      </c>
      <c r="C83" s="15" t="s">
        <v>43</v>
      </c>
      <c r="D83" s="15" t="s">
        <v>41</v>
      </c>
      <c r="E83" s="15" t="s">
        <v>48</v>
      </c>
      <c r="F83" s="15">
        <v>6010</v>
      </c>
      <c r="G83" s="15">
        <v>5243</v>
      </c>
      <c r="H83" s="15">
        <v>7733</v>
      </c>
      <c r="I83" s="15">
        <v>1874</v>
      </c>
      <c r="J83" s="15">
        <v>3196</v>
      </c>
      <c r="K83" s="15">
        <v>6233</v>
      </c>
      <c r="L83" s="20">
        <v>8550</v>
      </c>
      <c r="N83"/>
      <c r="O83"/>
      <c r="P83"/>
      <c r="Q83"/>
      <c r="R83"/>
      <c r="T83"/>
      <c r="U83"/>
    </row>
    <row r="84" spans="1:21" x14ac:dyDescent="0.25">
      <c r="A84" s="19" t="s">
        <v>8</v>
      </c>
      <c r="B84" s="15">
        <v>2015</v>
      </c>
      <c r="C84" s="15" t="s">
        <v>42</v>
      </c>
      <c r="D84" s="15" t="s">
        <v>14</v>
      </c>
      <c r="E84" s="15" t="s">
        <v>48</v>
      </c>
      <c r="F84" s="15">
        <v>759</v>
      </c>
      <c r="G84" s="15">
        <v>7662</v>
      </c>
      <c r="H84" s="15">
        <v>5494</v>
      </c>
      <c r="I84" s="15">
        <v>8010</v>
      </c>
      <c r="J84" s="15">
        <v>2737</v>
      </c>
      <c r="K84" s="15">
        <v>6857</v>
      </c>
      <c r="L84" s="20">
        <v>5644</v>
      </c>
      <c r="N84"/>
      <c r="O84"/>
      <c r="P84"/>
      <c r="Q84"/>
      <c r="R84"/>
      <c r="T84"/>
      <c r="U84"/>
    </row>
    <row r="85" spans="1:21" x14ac:dyDescent="0.25">
      <c r="A85" s="19" t="s">
        <v>13</v>
      </c>
      <c r="B85" s="15">
        <v>2018</v>
      </c>
      <c r="C85" s="15" t="s">
        <v>37</v>
      </c>
      <c r="D85" s="15" t="s">
        <v>39</v>
      </c>
      <c r="E85" s="15" t="s">
        <v>50</v>
      </c>
      <c r="F85" s="15">
        <v>9196</v>
      </c>
      <c r="G85" s="15">
        <v>8081</v>
      </c>
      <c r="H85" s="15">
        <v>2565</v>
      </c>
      <c r="I85" s="15">
        <v>5067</v>
      </c>
      <c r="J85" s="15">
        <v>4854</v>
      </c>
      <c r="K85" s="15">
        <v>6809</v>
      </c>
      <c r="L85" s="20">
        <v>9577</v>
      </c>
      <c r="N85"/>
      <c r="O85"/>
      <c r="P85"/>
      <c r="Q85"/>
      <c r="R85"/>
      <c r="T85"/>
      <c r="U85"/>
    </row>
    <row r="86" spans="1:21" x14ac:dyDescent="0.25">
      <c r="A86" s="19" t="s">
        <v>10</v>
      </c>
      <c r="B86" s="15">
        <v>2014</v>
      </c>
      <c r="C86" s="15" t="s">
        <v>37</v>
      </c>
      <c r="D86" s="15" t="s">
        <v>41</v>
      </c>
      <c r="E86" s="15" t="s">
        <v>49</v>
      </c>
      <c r="F86" s="15">
        <v>2298</v>
      </c>
      <c r="G86" s="15">
        <v>6217</v>
      </c>
      <c r="H86" s="15">
        <v>6752</v>
      </c>
      <c r="I86" s="15">
        <v>8625</v>
      </c>
      <c r="J86" s="15">
        <v>6924</v>
      </c>
      <c r="K86" s="15">
        <v>291</v>
      </c>
      <c r="L86" s="20">
        <v>6717</v>
      </c>
      <c r="N86"/>
      <c r="O86"/>
      <c r="P86"/>
      <c r="Q86"/>
      <c r="R86"/>
      <c r="T86"/>
      <c r="U86"/>
    </row>
    <row r="87" spans="1:21" x14ac:dyDescent="0.25">
      <c r="A87" s="19" t="s">
        <v>4</v>
      </c>
      <c r="B87" s="15">
        <v>2014</v>
      </c>
      <c r="C87" s="15" t="s">
        <v>42</v>
      </c>
      <c r="D87" s="15" t="s">
        <v>41</v>
      </c>
      <c r="E87" s="15" t="s">
        <v>50</v>
      </c>
      <c r="F87" s="15">
        <v>4401</v>
      </c>
      <c r="G87" s="15">
        <v>5337</v>
      </c>
      <c r="H87" s="15">
        <v>6198</v>
      </c>
      <c r="I87" s="15">
        <v>9352</v>
      </c>
      <c r="J87" s="15">
        <v>8356</v>
      </c>
      <c r="K87" s="15">
        <v>5230</v>
      </c>
      <c r="L87" s="20">
        <v>8421</v>
      </c>
      <c r="N87"/>
      <c r="O87"/>
      <c r="P87"/>
      <c r="Q87"/>
      <c r="R87"/>
      <c r="T87"/>
      <c r="U87"/>
    </row>
    <row r="88" spans="1:21" x14ac:dyDescent="0.25">
      <c r="A88" s="19" t="s">
        <v>9</v>
      </c>
      <c r="B88" s="15">
        <v>2018</v>
      </c>
      <c r="C88" s="15" t="s">
        <v>43</v>
      </c>
      <c r="D88" s="15" t="s">
        <v>41</v>
      </c>
      <c r="E88" s="15" t="s">
        <v>49</v>
      </c>
      <c r="F88" s="15">
        <v>7896</v>
      </c>
      <c r="G88" s="15">
        <v>7028</v>
      </c>
      <c r="H88" s="15">
        <v>1915</v>
      </c>
      <c r="I88" s="15">
        <v>2097</v>
      </c>
      <c r="J88" s="15">
        <v>7703</v>
      </c>
      <c r="K88" s="15">
        <v>7944</v>
      </c>
      <c r="L88" s="20">
        <v>3244</v>
      </c>
      <c r="N88"/>
      <c r="O88"/>
      <c r="P88"/>
      <c r="Q88"/>
      <c r="R88"/>
      <c r="T88"/>
      <c r="U88"/>
    </row>
    <row r="89" spans="1:21" x14ac:dyDescent="0.25">
      <c r="A89" s="19" t="s">
        <v>9</v>
      </c>
      <c r="B89" s="15">
        <v>2015</v>
      </c>
      <c r="C89" s="15" t="s">
        <v>42</v>
      </c>
      <c r="D89" s="15" t="s">
        <v>39</v>
      </c>
      <c r="E89" s="15" t="s">
        <v>49</v>
      </c>
      <c r="F89" s="15">
        <v>9367</v>
      </c>
      <c r="G89" s="15">
        <v>1675</v>
      </c>
      <c r="H89" s="15">
        <v>5200</v>
      </c>
      <c r="I89" s="15">
        <v>4858</v>
      </c>
      <c r="J89" s="15">
        <v>3646</v>
      </c>
      <c r="K89" s="15">
        <v>3885</v>
      </c>
      <c r="L89" s="20">
        <v>6814</v>
      </c>
      <c r="N89"/>
      <c r="O89"/>
      <c r="P89"/>
      <c r="Q89"/>
      <c r="R89"/>
      <c r="T89"/>
      <c r="U89"/>
    </row>
    <row r="90" spans="1:21" x14ac:dyDescent="0.25">
      <c r="A90" s="19" t="s">
        <v>4</v>
      </c>
      <c r="B90" s="15">
        <v>2018</v>
      </c>
      <c r="C90" s="15" t="s">
        <v>42</v>
      </c>
      <c r="D90" s="15" t="s">
        <v>14</v>
      </c>
      <c r="E90" s="15" t="s">
        <v>50</v>
      </c>
      <c r="F90" s="15">
        <v>1548</v>
      </c>
      <c r="G90" s="15">
        <v>3152</v>
      </c>
      <c r="H90" s="15">
        <v>7136</v>
      </c>
      <c r="I90" s="15">
        <v>3340</v>
      </c>
      <c r="J90" s="15">
        <v>3619</v>
      </c>
      <c r="K90" s="15">
        <v>1398</v>
      </c>
      <c r="L90" s="20">
        <v>4269</v>
      </c>
      <c r="N90"/>
      <c r="O90"/>
      <c r="P90"/>
      <c r="Q90"/>
      <c r="R90"/>
      <c r="T90"/>
      <c r="U90"/>
    </row>
    <row r="91" spans="1:21" x14ac:dyDescent="0.25">
      <c r="A91" s="19" t="s">
        <v>12</v>
      </c>
      <c r="B91" s="15">
        <v>2015</v>
      </c>
      <c r="C91" s="15" t="s">
        <v>38</v>
      </c>
      <c r="D91" s="15" t="s">
        <v>41</v>
      </c>
      <c r="E91" s="15" t="s">
        <v>50</v>
      </c>
      <c r="F91" s="15">
        <v>6760</v>
      </c>
      <c r="G91" s="15">
        <v>5690</v>
      </c>
      <c r="H91" s="15">
        <v>2008</v>
      </c>
      <c r="I91" s="15">
        <v>3516</v>
      </c>
      <c r="J91" s="15">
        <v>9004</v>
      </c>
      <c r="K91" s="15">
        <v>2902</v>
      </c>
      <c r="L91" s="20">
        <v>3114</v>
      </c>
      <c r="N91"/>
      <c r="O91"/>
      <c r="P91"/>
      <c r="Q91"/>
      <c r="R91"/>
      <c r="T91"/>
      <c r="U91"/>
    </row>
    <row r="92" spans="1:21" x14ac:dyDescent="0.25">
      <c r="A92" s="19" t="s">
        <v>7</v>
      </c>
      <c r="B92" s="15">
        <v>2015</v>
      </c>
      <c r="C92" s="15" t="s">
        <v>40</v>
      </c>
      <c r="D92" s="15" t="s">
        <v>14</v>
      </c>
      <c r="E92" s="15" t="s">
        <v>48</v>
      </c>
      <c r="F92" s="15">
        <v>8437</v>
      </c>
      <c r="G92" s="15">
        <v>319</v>
      </c>
      <c r="H92" s="15">
        <v>7080</v>
      </c>
      <c r="I92" s="15">
        <v>8569</v>
      </c>
      <c r="J92" s="15">
        <v>546</v>
      </c>
      <c r="K92" s="15">
        <v>3119</v>
      </c>
      <c r="L92" s="20">
        <v>7316</v>
      </c>
      <c r="N92"/>
      <c r="O92"/>
      <c r="P92"/>
      <c r="Q92"/>
      <c r="R92"/>
      <c r="T92"/>
      <c r="U92"/>
    </row>
    <row r="93" spans="1:21" x14ac:dyDescent="0.25">
      <c r="A93" s="19" t="s">
        <v>9</v>
      </c>
      <c r="B93" s="15">
        <v>2017</v>
      </c>
      <c r="C93" s="15" t="s">
        <v>37</v>
      </c>
      <c r="D93" s="15" t="s">
        <v>39</v>
      </c>
      <c r="E93" s="15" t="s">
        <v>48</v>
      </c>
      <c r="F93" s="15">
        <v>6176</v>
      </c>
      <c r="G93" s="15">
        <v>9411</v>
      </c>
      <c r="H93" s="15">
        <v>7181</v>
      </c>
      <c r="I93" s="15">
        <v>4107</v>
      </c>
      <c r="J93" s="15">
        <v>2057</v>
      </c>
      <c r="K93" s="15">
        <v>9874</v>
      </c>
      <c r="L93" s="20">
        <v>247</v>
      </c>
      <c r="N93"/>
      <c r="O93"/>
      <c r="P93"/>
      <c r="Q93"/>
      <c r="R93"/>
      <c r="T93"/>
      <c r="U93"/>
    </row>
    <row r="94" spans="1:21" x14ac:dyDescent="0.25">
      <c r="A94" s="19" t="s">
        <v>11</v>
      </c>
      <c r="B94" s="15">
        <v>2015</v>
      </c>
      <c r="C94" s="15" t="s">
        <v>40</v>
      </c>
      <c r="D94" s="15" t="s">
        <v>41</v>
      </c>
      <c r="E94" s="15" t="s">
        <v>49</v>
      </c>
      <c r="F94" s="15">
        <v>6734</v>
      </c>
      <c r="G94" s="15">
        <v>8971</v>
      </c>
      <c r="H94" s="15">
        <v>7114</v>
      </c>
      <c r="I94" s="15">
        <v>3660</v>
      </c>
      <c r="J94" s="15">
        <v>2455</v>
      </c>
      <c r="K94" s="15">
        <v>1486</v>
      </c>
      <c r="L94" s="20">
        <v>1488</v>
      </c>
      <c r="N94"/>
      <c r="O94"/>
      <c r="P94"/>
      <c r="Q94"/>
      <c r="R94"/>
      <c r="T94"/>
      <c r="U94"/>
    </row>
    <row r="95" spans="1:21" x14ac:dyDescent="0.25">
      <c r="A95" s="19" t="s">
        <v>12</v>
      </c>
      <c r="B95" s="15">
        <v>2017</v>
      </c>
      <c r="C95" s="15" t="s">
        <v>40</v>
      </c>
      <c r="D95" s="15" t="s">
        <v>14</v>
      </c>
      <c r="E95" s="15" t="s">
        <v>50</v>
      </c>
      <c r="F95" s="15">
        <v>7123</v>
      </c>
      <c r="G95" s="15">
        <v>8415</v>
      </c>
      <c r="H95" s="15">
        <v>8017</v>
      </c>
      <c r="I95" s="15">
        <v>6207</v>
      </c>
      <c r="J95" s="15">
        <v>9996</v>
      </c>
      <c r="K95" s="15">
        <v>2835</v>
      </c>
      <c r="L95" s="20">
        <v>4008</v>
      </c>
      <c r="N95"/>
      <c r="O95"/>
      <c r="P95"/>
      <c r="Q95"/>
      <c r="R95"/>
      <c r="T95"/>
      <c r="U95"/>
    </row>
    <row r="96" spans="1:21" x14ac:dyDescent="0.25">
      <c r="A96" s="19" t="s">
        <v>13</v>
      </c>
      <c r="B96" s="15">
        <v>2018</v>
      </c>
      <c r="C96" s="15" t="s">
        <v>38</v>
      </c>
      <c r="D96" s="15" t="s">
        <v>14</v>
      </c>
      <c r="E96" s="15" t="s">
        <v>48</v>
      </c>
      <c r="F96" s="15">
        <v>7564</v>
      </c>
      <c r="G96" s="15">
        <v>9167</v>
      </c>
      <c r="H96" s="15">
        <v>4190</v>
      </c>
      <c r="I96" s="15">
        <v>2663</v>
      </c>
      <c r="J96" s="15">
        <v>9963</v>
      </c>
      <c r="K96" s="15">
        <v>9740</v>
      </c>
      <c r="L96" s="20">
        <v>19</v>
      </c>
      <c r="N96"/>
      <c r="O96"/>
      <c r="P96"/>
      <c r="Q96"/>
      <c r="R96"/>
      <c r="T96"/>
      <c r="U96"/>
    </row>
    <row r="97" spans="1:21" x14ac:dyDescent="0.25">
      <c r="A97" s="19" t="s">
        <v>4</v>
      </c>
      <c r="B97" s="15">
        <v>2018</v>
      </c>
      <c r="C97" s="15" t="s">
        <v>38</v>
      </c>
      <c r="D97" s="15" t="s">
        <v>39</v>
      </c>
      <c r="E97" s="15" t="s">
        <v>50</v>
      </c>
      <c r="F97" s="15">
        <v>1813</v>
      </c>
      <c r="G97" s="15">
        <v>1640</v>
      </c>
      <c r="H97" s="15">
        <v>8758</v>
      </c>
      <c r="I97" s="15">
        <v>7520</v>
      </c>
      <c r="J97" s="15">
        <v>1411</v>
      </c>
      <c r="K97" s="15">
        <v>9034</v>
      </c>
      <c r="L97" s="20">
        <v>3368</v>
      </c>
      <c r="N97"/>
      <c r="O97"/>
      <c r="P97"/>
      <c r="Q97"/>
      <c r="R97"/>
      <c r="T97"/>
      <c r="U97"/>
    </row>
    <row r="98" spans="1:21" x14ac:dyDescent="0.25">
      <c r="A98" s="19" t="s">
        <v>6</v>
      </c>
      <c r="B98" s="15">
        <v>2017</v>
      </c>
      <c r="C98" s="15" t="s">
        <v>43</v>
      </c>
      <c r="D98" s="15" t="s">
        <v>14</v>
      </c>
      <c r="E98" s="15" t="s">
        <v>48</v>
      </c>
      <c r="F98" s="15">
        <v>2065</v>
      </c>
      <c r="G98" s="15">
        <v>5236</v>
      </c>
      <c r="H98" s="15">
        <v>8043</v>
      </c>
      <c r="I98" s="15">
        <v>4105</v>
      </c>
      <c r="J98" s="15">
        <v>6110</v>
      </c>
      <c r="K98" s="15">
        <v>4298</v>
      </c>
      <c r="L98" s="20">
        <v>7788</v>
      </c>
      <c r="N98"/>
      <c r="O98"/>
      <c r="P98"/>
      <c r="Q98"/>
      <c r="R98"/>
      <c r="T98"/>
      <c r="U98"/>
    </row>
    <row r="99" spans="1:21" x14ac:dyDescent="0.25">
      <c r="A99" s="19" t="s">
        <v>3</v>
      </c>
      <c r="B99" s="15">
        <v>2015</v>
      </c>
      <c r="C99" s="15" t="s">
        <v>38</v>
      </c>
      <c r="D99" s="15" t="s">
        <v>41</v>
      </c>
      <c r="E99" s="15" t="s">
        <v>50</v>
      </c>
      <c r="F99" s="15">
        <v>4326</v>
      </c>
      <c r="G99" s="15">
        <v>9415</v>
      </c>
      <c r="H99" s="15">
        <v>3587</v>
      </c>
      <c r="I99" s="15">
        <v>283</v>
      </c>
      <c r="J99" s="15">
        <v>783</v>
      </c>
      <c r="K99" s="15">
        <v>4122</v>
      </c>
      <c r="L99" s="20">
        <v>9859</v>
      </c>
      <c r="N99"/>
      <c r="O99"/>
      <c r="P99"/>
      <c r="Q99"/>
      <c r="R99"/>
      <c r="S99"/>
      <c r="T99"/>
      <c r="U99"/>
    </row>
    <row r="100" spans="1:21" x14ac:dyDescent="0.25">
      <c r="A100" s="19" t="s">
        <v>10</v>
      </c>
      <c r="B100" s="15">
        <v>2015</v>
      </c>
      <c r="C100" s="15" t="s">
        <v>42</v>
      </c>
      <c r="D100" s="15" t="s">
        <v>14</v>
      </c>
      <c r="E100" s="15" t="s">
        <v>48</v>
      </c>
      <c r="F100" s="15">
        <v>2187</v>
      </c>
      <c r="G100" s="15">
        <v>1537</v>
      </c>
      <c r="H100" s="15">
        <v>7995</v>
      </c>
      <c r="I100" s="15">
        <v>6310</v>
      </c>
      <c r="J100" s="15">
        <v>7878</v>
      </c>
      <c r="K100" s="15">
        <v>588</v>
      </c>
      <c r="L100" s="20">
        <v>647</v>
      </c>
      <c r="N100"/>
      <c r="O100"/>
      <c r="P100"/>
      <c r="Q100"/>
      <c r="R100"/>
      <c r="S100"/>
      <c r="T100"/>
      <c r="U100"/>
    </row>
    <row r="101" spans="1:21" x14ac:dyDescent="0.25">
      <c r="A101" s="19" t="s">
        <v>5</v>
      </c>
      <c r="B101" s="15">
        <v>2018</v>
      </c>
      <c r="C101" s="15" t="s">
        <v>37</v>
      </c>
      <c r="D101" s="15" t="s">
        <v>39</v>
      </c>
      <c r="E101" s="15" t="s">
        <v>50</v>
      </c>
      <c r="F101" s="15">
        <v>5240</v>
      </c>
      <c r="G101" s="15">
        <v>3899</v>
      </c>
      <c r="H101" s="15">
        <v>143</v>
      </c>
      <c r="I101" s="15">
        <v>127</v>
      </c>
      <c r="J101" s="15">
        <v>8609</v>
      </c>
      <c r="K101" s="15">
        <v>6050</v>
      </c>
      <c r="L101" s="20">
        <v>1891</v>
      </c>
      <c r="N101"/>
      <c r="O101"/>
      <c r="P101"/>
      <c r="Q101"/>
      <c r="R101"/>
      <c r="S101"/>
      <c r="T101"/>
      <c r="U101"/>
    </row>
    <row r="102" spans="1:21" x14ac:dyDescent="0.25">
      <c r="A102" s="19" t="s">
        <v>8</v>
      </c>
      <c r="B102" s="15">
        <v>2018</v>
      </c>
      <c r="C102" s="15" t="s">
        <v>40</v>
      </c>
      <c r="D102" s="15" t="s">
        <v>39</v>
      </c>
      <c r="E102" s="15" t="s">
        <v>50</v>
      </c>
      <c r="F102" s="15">
        <v>1334</v>
      </c>
      <c r="G102" s="15">
        <v>2147</v>
      </c>
      <c r="H102" s="15">
        <v>5071</v>
      </c>
      <c r="I102" s="15">
        <v>4808</v>
      </c>
      <c r="J102" s="15">
        <v>2223</v>
      </c>
      <c r="K102" s="15">
        <v>7554</v>
      </c>
      <c r="L102" s="20">
        <v>3429</v>
      </c>
      <c r="N102"/>
      <c r="O102"/>
      <c r="P102"/>
      <c r="Q102"/>
      <c r="R102"/>
      <c r="S102"/>
      <c r="T102"/>
      <c r="U102"/>
    </row>
    <row r="103" spans="1:21" x14ac:dyDescent="0.25">
      <c r="A103" s="19" t="s">
        <v>9</v>
      </c>
      <c r="B103" s="15">
        <v>2017</v>
      </c>
      <c r="C103" s="15" t="s">
        <v>37</v>
      </c>
      <c r="D103" s="15" t="s">
        <v>39</v>
      </c>
      <c r="E103" s="15" t="s">
        <v>49</v>
      </c>
      <c r="F103" s="15">
        <v>7376</v>
      </c>
      <c r="G103" s="15">
        <v>5450</v>
      </c>
      <c r="H103" s="15">
        <v>726</v>
      </c>
      <c r="I103" s="15">
        <v>3806</v>
      </c>
      <c r="J103" s="15">
        <v>8013</v>
      </c>
      <c r="K103" s="15">
        <v>4798</v>
      </c>
      <c r="L103" s="20">
        <v>9257</v>
      </c>
      <c r="N103"/>
      <c r="O103"/>
      <c r="P103"/>
      <c r="Q103"/>
      <c r="R103"/>
      <c r="S103"/>
      <c r="T103"/>
      <c r="U103"/>
    </row>
    <row r="104" spans="1:21" x14ac:dyDescent="0.25">
      <c r="A104" s="19" t="s">
        <v>2</v>
      </c>
      <c r="B104" s="15">
        <v>2016</v>
      </c>
      <c r="C104" s="15" t="s">
        <v>42</v>
      </c>
      <c r="D104" s="15" t="s">
        <v>39</v>
      </c>
      <c r="E104" s="15" t="s">
        <v>50</v>
      </c>
      <c r="F104" s="15">
        <v>279</v>
      </c>
      <c r="G104" s="15">
        <v>6286</v>
      </c>
      <c r="H104" s="15">
        <v>2936</v>
      </c>
      <c r="I104" s="15">
        <v>8647</v>
      </c>
      <c r="J104" s="15">
        <v>9723</v>
      </c>
      <c r="K104" s="15">
        <v>9011</v>
      </c>
      <c r="L104" s="20">
        <v>4268</v>
      </c>
      <c r="N104"/>
      <c r="O104"/>
      <c r="P104"/>
      <c r="Q104"/>
      <c r="R104"/>
      <c r="S104"/>
      <c r="T104"/>
      <c r="U104"/>
    </row>
    <row r="105" spans="1:21" x14ac:dyDescent="0.25">
      <c r="A105" s="19" t="s">
        <v>11</v>
      </c>
      <c r="B105" s="15">
        <v>2014</v>
      </c>
      <c r="C105" s="15" t="s">
        <v>40</v>
      </c>
      <c r="D105" s="15" t="s">
        <v>39</v>
      </c>
      <c r="E105" s="15" t="s">
        <v>49</v>
      </c>
      <c r="F105" s="15">
        <v>5779</v>
      </c>
      <c r="G105" s="15">
        <v>3351</v>
      </c>
      <c r="H105" s="15">
        <v>7215</v>
      </c>
      <c r="I105" s="15">
        <v>5158</v>
      </c>
      <c r="J105" s="15">
        <v>7839</v>
      </c>
      <c r="K105" s="15">
        <v>4711</v>
      </c>
      <c r="L105" s="20">
        <v>8781</v>
      </c>
      <c r="N105"/>
      <c r="O105"/>
      <c r="P105"/>
      <c r="Q105"/>
      <c r="R105"/>
      <c r="S105"/>
      <c r="T105"/>
      <c r="U105"/>
    </row>
    <row r="106" spans="1:21" x14ac:dyDescent="0.25">
      <c r="A106" s="19" t="s">
        <v>13</v>
      </c>
      <c r="B106" s="15">
        <v>2015</v>
      </c>
      <c r="C106" s="15" t="s">
        <v>42</v>
      </c>
      <c r="D106" s="15" t="s">
        <v>39</v>
      </c>
      <c r="E106" s="15" t="s">
        <v>48</v>
      </c>
      <c r="F106" s="15">
        <v>8628</v>
      </c>
      <c r="G106" s="15">
        <v>4332</v>
      </c>
      <c r="H106" s="15">
        <v>8285</v>
      </c>
      <c r="I106" s="15">
        <v>4749</v>
      </c>
      <c r="J106" s="15">
        <v>3341</v>
      </c>
      <c r="K106" s="15">
        <v>3938</v>
      </c>
      <c r="L106" s="20">
        <v>686</v>
      </c>
      <c r="N106"/>
      <c r="O106"/>
      <c r="P106"/>
      <c r="Q106"/>
      <c r="R106"/>
      <c r="S106"/>
      <c r="T106"/>
      <c r="U106"/>
    </row>
    <row r="107" spans="1:21" x14ac:dyDescent="0.25">
      <c r="A107" s="19" t="s">
        <v>12</v>
      </c>
      <c r="B107" s="15">
        <v>2015</v>
      </c>
      <c r="C107" s="15" t="s">
        <v>43</v>
      </c>
      <c r="D107" s="15" t="s">
        <v>14</v>
      </c>
      <c r="E107" s="15" t="s">
        <v>50</v>
      </c>
      <c r="F107" s="15">
        <v>3363</v>
      </c>
      <c r="G107" s="15">
        <v>8893</v>
      </c>
      <c r="H107" s="15">
        <v>5318</v>
      </c>
      <c r="I107" s="15">
        <v>9147</v>
      </c>
      <c r="J107" s="15">
        <v>1645</v>
      </c>
      <c r="K107" s="15">
        <v>6576</v>
      </c>
      <c r="L107" s="20">
        <v>9545</v>
      </c>
      <c r="N107"/>
      <c r="O107"/>
      <c r="P107"/>
      <c r="Q107"/>
      <c r="R107"/>
      <c r="S107"/>
      <c r="T107"/>
      <c r="U107"/>
    </row>
    <row r="108" spans="1:21" x14ac:dyDescent="0.25">
      <c r="A108" s="19" t="s">
        <v>4</v>
      </c>
      <c r="B108" s="15">
        <v>2018</v>
      </c>
      <c r="C108" s="15" t="s">
        <v>43</v>
      </c>
      <c r="D108" s="15" t="s">
        <v>39</v>
      </c>
      <c r="E108" s="15" t="s">
        <v>49</v>
      </c>
      <c r="F108" s="15">
        <v>7818</v>
      </c>
      <c r="G108" s="15">
        <v>4075</v>
      </c>
      <c r="H108" s="15">
        <v>2591</v>
      </c>
      <c r="I108" s="15">
        <v>5181</v>
      </c>
      <c r="J108" s="15">
        <v>6048</v>
      </c>
      <c r="K108" s="15">
        <v>2428</v>
      </c>
      <c r="L108" s="20">
        <v>7871</v>
      </c>
      <c r="N108"/>
      <c r="O108"/>
      <c r="P108"/>
      <c r="Q108"/>
      <c r="R108"/>
      <c r="S108"/>
      <c r="T108"/>
      <c r="U108"/>
    </row>
    <row r="109" spans="1:21" x14ac:dyDescent="0.25">
      <c r="A109" s="19" t="s">
        <v>7</v>
      </c>
      <c r="B109" s="15">
        <v>2014</v>
      </c>
      <c r="C109" s="15" t="s">
        <v>40</v>
      </c>
      <c r="D109" s="15" t="s">
        <v>41</v>
      </c>
      <c r="E109" s="15" t="s">
        <v>48</v>
      </c>
      <c r="F109" s="15">
        <v>425</v>
      </c>
      <c r="G109" s="15">
        <v>1314</v>
      </c>
      <c r="H109" s="15">
        <v>9990</v>
      </c>
      <c r="I109" s="15">
        <v>7162</v>
      </c>
      <c r="J109" s="15">
        <v>5388</v>
      </c>
      <c r="K109" s="15">
        <v>9914</v>
      </c>
      <c r="L109" s="20">
        <v>1445</v>
      </c>
      <c r="N109"/>
      <c r="O109"/>
      <c r="P109"/>
      <c r="Q109"/>
      <c r="R109"/>
      <c r="S109"/>
      <c r="T109"/>
      <c r="U109"/>
    </row>
    <row r="110" spans="1:21" x14ac:dyDescent="0.25">
      <c r="A110" s="19" t="s">
        <v>10</v>
      </c>
      <c r="B110" s="15">
        <v>2018</v>
      </c>
      <c r="C110" s="15" t="s">
        <v>42</v>
      </c>
      <c r="D110" s="15" t="s">
        <v>14</v>
      </c>
      <c r="E110" s="15" t="s">
        <v>48</v>
      </c>
      <c r="F110" s="15">
        <v>4807</v>
      </c>
      <c r="G110" s="15">
        <v>4355</v>
      </c>
      <c r="H110" s="15">
        <v>3396</v>
      </c>
      <c r="I110" s="15">
        <v>6852</v>
      </c>
      <c r="J110" s="15">
        <v>404</v>
      </c>
      <c r="K110" s="15">
        <v>5855</v>
      </c>
      <c r="L110" s="20">
        <v>3729</v>
      </c>
      <c r="N110"/>
      <c r="O110"/>
      <c r="P110"/>
      <c r="Q110"/>
      <c r="R110"/>
      <c r="S110"/>
      <c r="T110"/>
      <c r="U110"/>
    </row>
    <row r="111" spans="1:21" x14ac:dyDescent="0.25">
      <c r="A111" s="19" t="s">
        <v>12</v>
      </c>
      <c r="B111" s="15">
        <v>2016</v>
      </c>
      <c r="C111" s="15" t="s">
        <v>40</v>
      </c>
      <c r="D111" s="15" t="s">
        <v>39</v>
      </c>
      <c r="E111" s="15" t="s">
        <v>50</v>
      </c>
      <c r="F111" s="15">
        <v>3541</v>
      </c>
      <c r="G111" s="15">
        <v>1410</v>
      </c>
      <c r="H111" s="15">
        <v>5300</v>
      </c>
      <c r="I111" s="15">
        <v>8548</v>
      </c>
      <c r="J111" s="15">
        <v>1499</v>
      </c>
      <c r="K111" s="15">
        <v>5908</v>
      </c>
      <c r="L111" s="20">
        <v>8979</v>
      </c>
      <c r="N111"/>
      <c r="O111"/>
      <c r="P111"/>
      <c r="Q111"/>
      <c r="R111"/>
      <c r="S111"/>
      <c r="T111"/>
      <c r="U111"/>
    </row>
    <row r="112" spans="1:21" x14ac:dyDescent="0.25">
      <c r="A112" s="19" t="s">
        <v>3</v>
      </c>
      <c r="B112" s="15">
        <v>2014</v>
      </c>
      <c r="C112" s="15" t="s">
        <v>43</v>
      </c>
      <c r="D112" s="15" t="s">
        <v>41</v>
      </c>
      <c r="E112" s="15" t="s">
        <v>50</v>
      </c>
      <c r="F112" s="15">
        <v>9058</v>
      </c>
      <c r="G112" s="15">
        <v>9257</v>
      </c>
      <c r="H112" s="15">
        <v>594</v>
      </c>
      <c r="I112" s="15">
        <v>7071</v>
      </c>
      <c r="J112" s="15">
        <v>8623</v>
      </c>
      <c r="K112" s="15">
        <v>8993</v>
      </c>
      <c r="L112" s="20">
        <v>3994</v>
      </c>
      <c r="N112"/>
      <c r="O112"/>
      <c r="P112"/>
      <c r="Q112"/>
      <c r="R112"/>
      <c r="S112"/>
      <c r="T112"/>
      <c r="U112"/>
    </row>
    <row r="113" spans="1:21" x14ac:dyDescent="0.25">
      <c r="A113" s="19" t="s">
        <v>6</v>
      </c>
      <c r="B113" s="15">
        <v>2018</v>
      </c>
      <c r="C113" s="15" t="s">
        <v>37</v>
      </c>
      <c r="D113" s="15" t="s">
        <v>39</v>
      </c>
      <c r="E113" s="15" t="s">
        <v>50</v>
      </c>
      <c r="F113" s="15">
        <v>9166</v>
      </c>
      <c r="G113" s="15">
        <v>6937</v>
      </c>
      <c r="H113" s="15">
        <v>6683</v>
      </c>
      <c r="I113" s="15">
        <v>8542</v>
      </c>
      <c r="J113" s="15">
        <v>6004</v>
      </c>
      <c r="K113" s="15">
        <v>7994</v>
      </c>
      <c r="L113" s="20">
        <v>3054</v>
      </c>
      <c r="N113"/>
      <c r="O113"/>
      <c r="P113"/>
      <c r="Q113"/>
      <c r="R113"/>
      <c r="S113"/>
      <c r="T113"/>
      <c r="U113"/>
    </row>
    <row r="114" spans="1:21" x14ac:dyDescent="0.25">
      <c r="A114" s="19" t="s">
        <v>9</v>
      </c>
      <c r="B114" s="15">
        <v>2015</v>
      </c>
      <c r="C114" s="15" t="s">
        <v>42</v>
      </c>
      <c r="D114" s="15" t="s">
        <v>39</v>
      </c>
      <c r="E114" s="15" t="s">
        <v>50</v>
      </c>
      <c r="F114" s="15">
        <v>94</v>
      </c>
      <c r="G114" s="15">
        <v>2856</v>
      </c>
      <c r="H114" s="15">
        <v>9618</v>
      </c>
      <c r="I114" s="15">
        <v>8183</v>
      </c>
      <c r="J114" s="15">
        <v>8743</v>
      </c>
      <c r="K114" s="15">
        <v>9262</v>
      </c>
      <c r="L114" s="20">
        <v>9364</v>
      </c>
      <c r="N114"/>
      <c r="O114"/>
      <c r="P114"/>
      <c r="Q114"/>
      <c r="R114"/>
      <c r="S114"/>
      <c r="T114"/>
      <c r="U114"/>
    </row>
    <row r="115" spans="1:21" x14ac:dyDescent="0.25">
      <c r="A115" s="19" t="s">
        <v>6</v>
      </c>
      <c r="B115" s="15">
        <v>2015</v>
      </c>
      <c r="C115" s="15" t="s">
        <v>38</v>
      </c>
      <c r="D115" s="15" t="s">
        <v>39</v>
      </c>
      <c r="E115" s="15" t="s">
        <v>48</v>
      </c>
      <c r="F115" s="15">
        <v>6072</v>
      </c>
      <c r="G115" s="15">
        <v>5677</v>
      </c>
      <c r="H115" s="15">
        <v>2053</v>
      </c>
      <c r="I115" s="15">
        <v>8201</v>
      </c>
      <c r="J115" s="15">
        <v>4220</v>
      </c>
      <c r="K115" s="15">
        <v>4073</v>
      </c>
      <c r="L115" s="20">
        <v>9485</v>
      </c>
      <c r="N115"/>
      <c r="O115"/>
      <c r="P115"/>
      <c r="Q115"/>
      <c r="R115"/>
      <c r="S115"/>
      <c r="T115"/>
      <c r="U115"/>
    </row>
    <row r="116" spans="1:21" x14ac:dyDescent="0.25">
      <c r="A116" s="19" t="s">
        <v>7</v>
      </c>
      <c r="B116" s="15">
        <v>2014</v>
      </c>
      <c r="C116" s="15" t="s">
        <v>43</v>
      </c>
      <c r="D116" s="15" t="s">
        <v>41</v>
      </c>
      <c r="E116" s="15" t="s">
        <v>48</v>
      </c>
      <c r="F116" s="15">
        <v>167</v>
      </c>
      <c r="G116" s="15">
        <v>8295</v>
      </c>
      <c r="H116" s="15">
        <v>2696</v>
      </c>
      <c r="I116" s="15">
        <v>5148</v>
      </c>
      <c r="J116" s="15">
        <v>4622</v>
      </c>
      <c r="K116" s="15">
        <v>6322</v>
      </c>
      <c r="L116" s="20">
        <v>9486</v>
      </c>
      <c r="N116"/>
      <c r="O116"/>
      <c r="P116"/>
      <c r="Q116"/>
      <c r="R116"/>
      <c r="S116"/>
      <c r="T116"/>
      <c r="U116"/>
    </row>
    <row r="117" spans="1:21" x14ac:dyDescent="0.25">
      <c r="A117" s="19" t="s">
        <v>4</v>
      </c>
      <c r="B117" s="15">
        <v>2018</v>
      </c>
      <c r="C117" s="15" t="s">
        <v>37</v>
      </c>
      <c r="D117" s="15" t="s">
        <v>39</v>
      </c>
      <c r="E117" s="15" t="s">
        <v>49</v>
      </c>
      <c r="F117" s="15">
        <v>6119</v>
      </c>
      <c r="G117" s="15">
        <v>2162</v>
      </c>
      <c r="H117" s="15">
        <v>6932</v>
      </c>
      <c r="I117" s="15">
        <v>223</v>
      </c>
      <c r="J117" s="15">
        <v>9388</v>
      </c>
      <c r="K117" s="15">
        <v>3662</v>
      </c>
      <c r="L117" s="20">
        <v>8886</v>
      </c>
      <c r="N117"/>
      <c r="O117"/>
      <c r="P117"/>
      <c r="Q117"/>
      <c r="R117"/>
      <c r="S117"/>
      <c r="T117"/>
      <c r="U117"/>
    </row>
    <row r="118" spans="1:21" x14ac:dyDescent="0.25">
      <c r="A118" s="19" t="s">
        <v>9</v>
      </c>
      <c r="B118" s="15">
        <v>2017</v>
      </c>
      <c r="C118" s="15" t="s">
        <v>38</v>
      </c>
      <c r="D118" s="15" t="s">
        <v>41</v>
      </c>
      <c r="E118" s="15" t="s">
        <v>49</v>
      </c>
      <c r="F118" s="15">
        <v>7563</v>
      </c>
      <c r="G118" s="15">
        <v>1305</v>
      </c>
      <c r="H118" s="15">
        <v>2959</v>
      </c>
      <c r="I118" s="15">
        <v>1822</v>
      </c>
      <c r="J118" s="15">
        <v>324</v>
      </c>
      <c r="K118" s="15">
        <v>3749</v>
      </c>
      <c r="L118" s="20">
        <v>4653</v>
      </c>
      <c r="N118"/>
      <c r="O118"/>
      <c r="P118"/>
      <c r="Q118"/>
      <c r="R118"/>
      <c r="S118"/>
      <c r="T118"/>
      <c r="U118"/>
    </row>
    <row r="119" spans="1:21" x14ac:dyDescent="0.25">
      <c r="A119" s="19" t="s">
        <v>2</v>
      </c>
      <c r="B119" s="15">
        <v>2017</v>
      </c>
      <c r="C119" s="15" t="s">
        <v>40</v>
      </c>
      <c r="D119" s="15" t="s">
        <v>39</v>
      </c>
      <c r="E119" s="15" t="s">
        <v>50</v>
      </c>
      <c r="F119" s="15">
        <v>3571</v>
      </c>
      <c r="G119" s="15">
        <v>5707</v>
      </c>
      <c r="H119" s="15">
        <v>3697</v>
      </c>
      <c r="I119" s="15">
        <v>8729</v>
      </c>
      <c r="J119" s="15">
        <v>4674</v>
      </c>
      <c r="K119" s="15">
        <v>9247</v>
      </c>
      <c r="L119" s="20">
        <v>1570</v>
      </c>
      <c r="N119"/>
      <c r="O119"/>
      <c r="P119"/>
      <c r="Q119"/>
      <c r="R119"/>
      <c r="S119"/>
      <c r="T119"/>
      <c r="U119"/>
    </row>
    <row r="120" spans="1:21" x14ac:dyDescent="0.25">
      <c r="A120" s="19" t="s">
        <v>10</v>
      </c>
      <c r="B120" s="15">
        <v>2015</v>
      </c>
      <c r="C120" s="15" t="s">
        <v>40</v>
      </c>
      <c r="D120" s="15" t="s">
        <v>14</v>
      </c>
      <c r="E120" s="15" t="s">
        <v>49</v>
      </c>
      <c r="F120" s="15">
        <v>153</v>
      </c>
      <c r="G120" s="15">
        <v>1739</v>
      </c>
      <c r="H120" s="15">
        <v>1011</v>
      </c>
      <c r="I120" s="15">
        <v>6108</v>
      </c>
      <c r="J120" s="15">
        <v>6023</v>
      </c>
      <c r="K120" s="15">
        <v>6240</v>
      </c>
      <c r="L120" s="20">
        <v>9405</v>
      </c>
      <c r="N120"/>
      <c r="O120"/>
      <c r="P120"/>
      <c r="Q120"/>
      <c r="R120"/>
      <c r="S120"/>
      <c r="T120"/>
      <c r="U120"/>
    </row>
    <row r="121" spans="1:21" x14ac:dyDescent="0.25">
      <c r="A121" s="19" t="s">
        <v>4</v>
      </c>
      <c r="B121" s="15">
        <v>2016</v>
      </c>
      <c r="C121" s="15" t="s">
        <v>38</v>
      </c>
      <c r="D121" s="15" t="s">
        <v>14</v>
      </c>
      <c r="E121" s="15" t="s">
        <v>48</v>
      </c>
      <c r="F121" s="15">
        <v>7451</v>
      </c>
      <c r="G121" s="15">
        <v>2188</v>
      </c>
      <c r="H121" s="15">
        <v>943</v>
      </c>
      <c r="I121" s="15">
        <v>9212</v>
      </c>
      <c r="J121" s="15">
        <v>8580</v>
      </c>
      <c r="K121" s="15">
        <v>9283</v>
      </c>
      <c r="L121" s="20">
        <v>9335</v>
      </c>
      <c r="N121"/>
      <c r="O121"/>
      <c r="P121"/>
      <c r="Q121"/>
      <c r="R121"/>
      <c r="S121"/>
      <c r="T121"/>
      <c r="U121"/>
    </row>
    <row r="122" spans="1:21" x14ac:dyDescent="0.25">
      <c r="A122" s="19" t="s">
        <v>4</v>
      </c>
      <c r="B122" s="15">
        <v>2014</v>
      </c>
      <c r="C122" s="15" t="s">
        <v>43</v>
      </c>
      <c r="D122" s="15" t="s">
        <v>39</v>
      </c>
      <c r="E122" s="15" t="s">
        <v>50</v>
      </c>
      <c r="F122" s="15">
        <v>5562</v>
      </c>
      <c r="G122" s="15">
        <v>3299</v>
      </c>
      <c r="H122" s="15">
        <v>7822</v>
      </c>
      <c r="I122" s="15">
        <v>735</v>
      </c>
      <c r="J122" s="15">
        <v>7163</v>
      </c>
      <c r="K122" s="15">
        <v>1630</v>
      </c>
      <c r="L122" s="20">
        <v>4271</v>
      </c>
      <c r="N122"/>
      <c r="O122"/>
      <c r="P122"/>
      <c r="Q122"/>
      <c r="R122"/>
      <c r="S122"/>
      <c r="T122"/>
      <c r="U122"/>
    </row>
    <row r="123" spans="1:21" x14ac:dyDescent="0.25">
      <c r="A123" s="19" t="s">
        <v>11</v>
      </c>
      <c r="B123" s="15">
        <v>2017</v>
      </c>
      <c r="C123" s="15" t="s">
        <v>42</v>
      </c>
      <c r="D123" s="15" t="s">
        <v>39</v>
      </c>
      <c r="E123" s="15" t="s">
        <v>48</v>
      </c>
      <c r="F123" s="15">
        <v>1583</v>
      </c>
      <c r="G123" s="15">
        <v>6310</v>
      </c>
      <c r="H123" s="15">
        <v>7595</v>
      </c>
      <c r="I123" s="15">
        <v>8197</v>
      </c>
      <c r="J123" s="15">
        <v>5201</v>
      </c>
      <c r="K123" s="15">
        <v>6283</v>
      </c>
      <c r="L123" s="20">
        <v>3962</v>
      </c>
      <c r="N123"/>
      <c r="O123"/>
      <c r="P123"/>
      <c r="Q123"/>
      <c r="R123"/>
      <c r="S123"/>
      <c r="T123"/>
      <c r="U123"/>
    </row>
    <row r="124" spans="1:21" x14ac:dyDescent="0.25">
      <c r="A124" s="19" t="s">
        <v>5</v>
      </c>
      <c r="B124" s="15">
        <v>2017</v>
      </c>
      <c r="C124" s="15" t="s">
        <v>42</v>
      </c>
      <c r="D124" s="15" t="s">
        <v>41</v>
      </c>
      <c r="E124" s="15" t="s">
        <v>48</v>
      </c>
      <c r="F124" s="15">
        <v>1484</v>
      </c>
      <c r="G124" s="15">
        <v>9344</v>
      </c>
      <c r="H124" s="15">
        <v>8091</v>
      </c>
      <c r="I124" s="15">
        <v>5992</v>
      </c>
      <c r="J124" s="15">
        <v>5718</v>
      </c>
      <c r="K124" s="15">
        <v>2171</v>
      </c>
      <c r="L124" s="20">
        <v>1740</v>
      </c>
      <c r="N124"/>
      <c r="O124"/>
      <c r="P124"/>
      <c r="Q124"/>
      <c r="R124"/>
      <c r="S124"/>
      <c r="T124"/>
      <c r="U124"/>
    </row>
    <row r="125" spans="1:21" x14ac:dyDescent="0.25">
      <c r="A125" s="19" t="s">
        <v>4</v>
      </c>
      <c r="B125" s="15">
        <v>2018</v>
      </c>
      <c r="C125" s="15" t="s">
        <v>43</v>
      </c>
      <c r="D125" s="15" t="s">
        <v>39</v>
      </c>
      <c r="E125" s="15" t="s">
        <v>50</v>
      </c>
      <c r="F125" s="15">
        <v>3250</v>
      </c>
      <c r="G125" s="15">
        <v>3366</v>
      </c>
      <c r="H125" s="15">
        <v>1609</v>
      </c>
      <c r="I125" s="15">
        <v>1255</v>
      </c>
      <c r="J125" s="15">
        <v>9229</v>
      </c>
      <c r="K125" s="15">
        <v>8245</v>
      </c>
      <c r="L125" s="20">
        <v>8040</v>
      </c>
      <c r="N125"/>
      <c r="O125"/>
      <c r="P125"/>
      <c r="Q125"/>
      <c r="R125"/>
      <c r="S125"/>
      <c r="T125"/>
      <c r="U125"/>
    </row>
    <row r="126" spans="1:21" x14ac:dyDescent="0.25">
      <c r="A126" s="19" t="s">
        <v>2</v>
      </c>
      <c r="B126" s="15">
        <v>2016</v>
      </c>
      <c r="C126" s="15" t="s">
        <v>37</v>
      </c>
      <c r="D126" s="15" t="s">
        <v>41</v>
      </c>
      <c r="E126" s="15" t="s">
        <v>48</v>
      </c>
      <c r="F126" s="15">
        <v>834</v>
      </c>
      <c r="G126" s="15">
        <v>1128</v>
      </c>
      <c r="H126" s="15">
        <v>7288</v>
      </c>
      <c r="I126" s="15">
        <v>3854</v>
      </c>
      <c r="J126" s="15">
        <v>5229</v>
      </c>
      <c r="K126" s="15">
        <v>3923</v>
      </c>
      <c r="L126" s="20">
        <v>9055</v>
      </c>
      <c r="N126"/>
      <c r="O126"/>
      <c r="P126"/>
      <c r="Q126"/>
      <c r="R126"/>
      <c r="S126"/>
      <c r="T126"/>
      <c r="U126"/>
    </row>
    <row r="127" spans="1:21" x14ac:dyDescent="0.25">
      <c r="A127" s="19" t="s">
        <v>2</v>
      </c>
      <c r="B127" s="15">
        <v>2017</v>
      </c>
      <c r="C127" s="15" t="s">
        <v>37</v>
      </c>
      <c r="D127" s="15" t="s">
        <v>39</v>
      </c>
      <c r="E127" s="15" t="s">
        <v>50</v>
      </c>
      <c r="F127" s="15">
        <v>9774</v>
      </c>
      <c r="G127" s="15">
        <v>9054</v>
      </c>
      <c r="H127" s="15">
        <v>1887</v>
      </c>
      <c r="I127" s="15">
        <v>807</v>
      </c>
      <c r="J127" s="15">
        <v>9185</v>
      </c>
      <c r="K127" s="15">
        <v>1629</v>
      </c>
      <c r="L127" s="20">
        <v>4262</v>
      </c>
      <c r="N127"/>
      <c r="O127"/>
      <c r="P127"/>
      <c r="Q127"/>
      <c r="R127"/>
      <c r="S127"/>
      <c r="T127"/>
      <c r="U127"/>
    </row>
    <row r="128" spans="1:21" x14ac:dyDescent="0.25">
      <c r="A128" s="19" t="s">
        <v>7</v>
      </c>
      <c r="B128" s="15">
        <v>2018</v>
      </c>
      <c r="C128" s="15" t="s">
        <v>37</v>
      </c>
      <c r="D128" s="15" t="s">
        <v>14</v>
      </c>
      <c r="E128" s="15" t="s">
        <v>48</v>
      </c>
      <c r="F128" s="15">
        <v>5818</v>
      </c>
      <c r="G128" s="15">
        <v>6226</v>
      </c>
      <c r="H128" s="15">
        <v>9155</v>
      </c>
      <c r="I128" s="15">
        <v>2280</v>
      </c>
      <c r="J128" s="15">
        <v>2466</v>
      </c>
      <c r="K128" s="15">
        <v>9205</v>
      </c>
      <c r="L128" s="20">
        <v>205</v>
      </c>
      <c r="N128"/>
      <c r="O128"/>
      <c r="P128"/>
      <c r="Q128"/>
      <c r="R128"/>
      <c r="S128"/>
      <c r="T128"/>
      <c r="U128"/>
    </row>
    <row r="129" spans="1:21" x14ac:dyDescent="0.25">
      <c r="A129" s="19" t="s">
        <v>12</v>
      </c>
      <c r="B129" s="15">
        <v>2014</v>
      </c>
      <c r="C129" s="15" t="s">
        <v>42</v>
      </c>
      <c r="D129" s="15" t="s">
        <v>41</v>
      </c>
      <c r="E129" s="15" t="s">
        <v>49</v>
      </c>
      <c r="F129" s="15">
        <v>2528</v>
      </c>
      <c r="G129" s="15">
        <v>4541</v>
      </c>
      <c r="H129" s="15">
        <v>1769</v>
      </c>
      <c r="I129" s="15">
        <v>2547</v>
      </c>
      <c r="J129" s="15">
        <v>5044</v>
      </c>
      <c r="K129" s="15">
        <v>8894</v>
      </c>
      <c r="L129" s="20">
        <v>4683</v>
      </c>
      <c r="N129"/>
      <c r="O129"/>
      <c r="P129"/>
      <c r="Q129"/>
      <c r="R129"/>
      <c r="S129"/>
      <c r="T129"/>
      <c r="U129"/>
    </row>
    <row r="130" spans="1:21" x14ac:dyDescent="0.25">
      <c r="A130" s="19" t="s">
        <v>7</v>
      </c>
      <c r="B130" s="15">
        <v>2015</v>
      </c>
      <c r="C130" s="15" t="s">
        <v>40</v>
      </c>
      <c r="D130" s="15" t="s">
        <v>39</v>
      </c>
      <c r="E130" s="15" t="s">
        <v>50</v>
      </c>
      <c r="F130" s="15">
        <v>8393</v>
      </c>
      <c r="G130" s="15">
        <v>4887</v>
      </c>
      <c r="H130" s="15">
        <v>4075</v>
      </c>
      <c r="I130" s="15">
        <v>692</v>
      </c>
      <c r="J130" s="15">
        <v>9463</v>
      </c>
      <c r="K130" s="15">
        <v>4675</v>
      </c>
      <c r="L130" s="20">
        <v>1300</v>
      </c>
      <c r="N130"/>
      <c r="O130"/>
      <c r="P130"/>
      <c r="Q130"/>
      <c r="R130"/>
      <c r="S130"/>
      <c r="T130"/>
      <c r="U130"/>
    </row>
    <row r="131" spans="1:21" x14ac:dyDescent="0.25">
      <c r="A131" s="19" t="s">
        <v>2</v>
      </c>
      <c r="B131" s="15">
        <v>2015</v>
      </c>
      <c r="C131" s="15" t="s">
        <v>40</v>
      </c>
      <c r="D131" s="15" t="s">
        <v>41</v>
      </c>
      <c r="E131" s="15" t="s">
        <v>50</v>
      </c>
      <c r="F131" s="15">
        <v>3308</v>
      </c>
      <c r="G131" s="15">
        <v>294</v>
      </c>
      <c r="H131" s="15">
        <v>6105</v>
      </c>
      <c r="I131" s="15">
        <v>4674</v>
      </c>
      <c r="J131" s="15">
        <v>3174</v>
      </c>
      <c r="K131" s="15">
        <v>5289</v>
      </c>
      <c r="L131" s="20">
        <v>2712</v>
      </c>
      <c r="N131"/>
      <c r="O131"/>
      <c r="P131"/>
    </row>
    <row r="132" spans="1:21" x14ac:dyDescent="0.25">
      <c r="A132" s="19" t="s">
        <v>10</v>
      </c>
      <c r="B132" s="15">
        <v>2014</v>
      </c>
      <c r="C132" s="15" t="s">
        <v>40</v>
      </c>
      <c r="D132" s="15" t="s">
        <v>41</v>
      </c>
      <c r="E132" s="15" t="s">
        <v>49</v>
      </c>
      <c r="F132" s="15">
        <v>174</v>
      </c>
      <c r="G132" s="15">
        <v>8662</v>
      </c>
      <c r="H132" s="15">
        <v>4209</v>
      </c>
      <c r="I132" s="15">
        <v>6868</v>
      </c>
      <c r="J132" s="15">
        <v>3854</v>
      </c>
      <c r="K132" s="15">
        <v>537</v>
      </c>
      <c r="L132" s="20">
        <v>1937</v>
      </c>
      <c r="N132"/>
      <c r="O132"/>
      <c r="P132"/>
    </row>
    <row r="133" spans="1:21" x14ac:dyDescent="0.25">
      <c r="A133" s="19" t="s">
        <v>6</v>
      </c>
      <c r="B133" s="15">
        <v>2017</v>
      </c>
      <c r="C133" s="15" t="s">
        <v>38</v>
      </c>
      <c r="D133" s="15" t="s">
        <v>41</v>
      </c>
      <c r="E133" s="15" t="s">
        <v>50</v>
      </c>
      <c r="F133" s="15">
        <v>3514</v>
      </c>
      <c r="G133" s="15">
        <v>208</v>
      </c>
      <c r="H133" s="15">
        <v>4940</v>
      </c>
      <c r="I133" s="15">
        <v>8636</v>
      </c>
      <c r="J133" s="15">
        <v>414</v>
      </c>
      <c r="K133" s="15">
        <v>4292</v>
      </c>
      <c r="L133" s="20">
        <v>5529</v>
      </c>
      <c r="N133"/>
      <c r="O133"/>
      <c r="P133"/>
    </row>
    <row r="134" spans="1:21" x14ac:dyDescent="0.25">
      <c r="A134" s="19" t="s">
        <v>3</v>
      </c>
      <c r="B134" s="15">
        <v>2014</v>
      </c>
      <c r="C134" s="15" t="s">
        <v>40</v>
      </c>
      <c r="D134" s="15" t="s">
        <v>41</v>
      </c>
      <c r="E134" s="15" t="s">
        <v>48</v>
      </c>
      <c r="F134" s="15">
        <v>7772</v>
      </c>
      <c r="G134" s="15">
        <v>2711</v>
      </c>
      <c r="H134" s="15">
        <v>9861</v>
      </c>
      <c r="I134" s="15">
        <v>5355</v>
      </c>
      <c r="J134" s="15">
        <v>3470</v>
      </c>
      <c r="K134" s="15">
        <v>9417</v>
      </c>
      <c r="L134" s="20">
        <v>3153</v>
      </c>
      <c r="N134"/>
      <c r="O134"/>
      <c r="P134"/>
    </row>
    <row r="135" spans="1:21" x14ac:dyDescent="0.25">
      <c r="A135" s="19" t="s">
        <v>11</v>
      </c>
      <c r="B135" s="15">
        <v>2016</v>
      </c>
      <c r="C135" s="15" t="s">
        <v>42</v>
      </c>
      <c r="D135" s="15" t="s">
        <v>41</v>
      </c>
      <c r="E135" s="15" t="s">
        <v>49</v>
      </c>
      <c r="F135" s="15">
        <v>2300</v>
      </c>
      <c r="G135" s="15">
        <v>117</v>
      </c>
      <c r="H135" s="15">
        <v>694</v>
      </c>
      <c r="I135" s="15">
        <v>5258</v>
      </c>
      <c r="J135" s="15">
        <v>1857</v>
      </c>
      <c r="K135" s="15">
        <v>3710</v>
      </c>
      <c r="L135" s="20">
        <v>7450</v>
      </c>
      <c r="N135"/>
      <c r="O135"/>
      <c r="P135"/>
    </row>
    <row r="136" spans="1:21" x14ac:dyDescent="0.25">
      <c r="A136" s="19" t="s">
        <v>6</v>
      </c>
      <c r="B136" s="15">
        <v>2018</v>
      </c>
      <c r="C136" s="15" t="s">
        <v>43</v>
      </c>
      <c r="D136" s="15" t="s">
        <v>41</v>
      </c>
      <c r="E136" s="15" t="s">
        <v>48</v>
      </c>
      <c r="F136" s="15">
        <v>2757</v>
      </c>
      <c r="G136" s="15">
        <v>5212</v>
      </c>
      <c r="H136" s="15">
        <v>3496</v>
      </c>
      <c r="I136" s="15">
        <v>3390</v>
      </c>
      <c r="J136" s="15">
        <v>8713</v>
      </c>
      <c r="K136" s="15">
        <v>5835</v>
      </c>
      <c r="L136" s="20">
        <v>9986</v>
      </c>
      <c r="N136"/>
      <c r="O136"/>
      <c r="P136"/>
    </row>
    <row r="137" spans="1:21" x14ac:dyDescent="0.25">
      <c r="A137" s="19" t="s">
        <v>7</v>
      </c>
      <c r="B137" s="15">
        <v>2016</v>
      </c>
      <c r="C137" s="15" t="s">
        <v>42</v>
      </c>
      <c r="D137" s="15" t="s">
        <v>41</v>
      </c>
      <c r="E137" s="15" t="s">
        <v>48</v>
      </c>
      <c r="F137" s="15">
        <v>474</v>
      </c>
      <c r="G137" s="15">
        <v>581</v>
      </c>
      <c r="H137" s="15">
        <v>8059</v>
      </c>
      <c r="I137" s="15">
        <v>1412</v>
      </c>
      <c r="J137" s="15">
        <v>8091</v>
      </c>
      <c r="K137" s="15">
        <v>5789</v>
      </c>
      <c r="L137" s="20">
        <v>855</v>
      </c>
      <c r="N137"/>
      <c r="O137"/>
      <c r="P137"/>
    </row>
    <row r="138" spans="1:21" x14ac:dyDescent="0.25">
      <c r="A138" s="19" t="s">
        <v>2</v>
      </c>
      <c r="B138" s="15">
        <v>2014</v>
      </c>
      <c r="C138" s="15" t="s">
        <v>40</v>
      </c>
      <c r="D138" s="15" t="s">
        <v>41</v>
      </c>
      <c r="E138" s="15" t="s">
        <v>48</v>
      </c>
      <c r="F138" s="15">
        <v>1699</v>
      </c>
      <c r="G138" s="15">
        <v>7373</v>
      </c>
      <c r="H138" s="15">
        <v>7354</v>
      </c>
      <c r="I138" s="15">
        <v>5934</v>
      </c>
      <c r="J138" s="15">
        <v>334</v>
      </c>
      <c r="K138" s="15">
        <v>1918</v>
      </c>
      <c r="L138" s="20">
        <v>3277</v>
      </c>
      <c r="N138"/>
      <c r="O138"/>
      <c r="P138"/>
    </row>
    <row r="139" spans="1:21" x14ac:dyDescent="0.25">
      <c r="A139" s="19" t="s">
        <v>8</v>
      </c>
      <c r="B139" s="15">
        <v>2014</v>
      </c>
      <c r="C139" s="15" t="s">
        <v>43</v>
      </c>
      <c r="D139" s="15" t="s">
        <v>14</v>
      </c>
      <c r="E139" s="15" t="s">
        <v>50</v>
      </c>
      <c r="F139" s="15">
        <v>6136</v>
      </c>
      <c r="G139" s="15">
        <v>8198</v>
      </c>
      <c r="H139" s="15">
        <v>3690</v>
      </c>
      <c r="I139" s="15">
        <v>5034</v>
      </c>
      <c r="J139" s="15">
        <v>8956</v>
      </c>
      <c r="K139" s="15">
        <v>7826</v>
      </c>
      <c r="L139" s="20">
        <v>1110</v>
      </c>
      <c r="N139"/>
      <c r="O139"/>
      <c r="P139"/>
    </row>
    <row r="140" spans="1:21" x14ac:dyDescent="0.25">
      <c r="A140" s="19" t="s">
        <v>8</v>
      </c>
      <c r="B140" s="15">
        <v>2018</v>
      </c>
      <c r="C140" s="15" t="s">
        <v>43</v>
      </c>
      <c r="D140" s="15" t="s">
        <v>14</v>
      </c>
      <c r="E140" s="15" t="s">
        <v>50</v>
      </c>
      <c r="F140" s="15">
        <v>4582</v>
      </c>
      <c r="G140" s="15">
        <v>9281</v>
      </c>
      <c r="H140" s="15">
        <v>3456</v>
      </c>
      <c r="I140" s="15">
        <v>3615</v>
      </c>
      <c r="J140" s="15">
        <v>6215</v>
      </c>
      <c r="K140" s="15">
        <v>1210</v>
      </c>
      <c r="L140" s="20">
        <v>1520</v>
      </c>
      <c r="N140"/>
      <c r="O140"/>
      <c r="P140"/>
    </row>
    <row r="141" spans="1:21" x14ac:dyDescent="0.25">
      <c r="A141" s="19" t="s">
        <v>7</v>
      </c>
      <c r="B141" s="15">
        <v>2018</v>
      </c>
      <c r="C141" s="15" t="s">
        <v>43</v>
      </c>
      <c r="D141" s="15" t="s">
        <v>41</v>
      </c>
      <c r="E141" s="15" t="s">
        <v>48</v>
      </c>
      <c r="F141" s="15">
        <v>2216</v>
      </c>
      <c r="G141" s="15">
        <v>3046</v>
      </c>
      <c r="H141" s="15">
        <v>3245</v>
      </c>
      <c r="I141" s="15">
        <v>6889</v>
      </c>
      <c r="J141" s="15">
        <v>2799</v>
      </c>
      <c r="K141" s="15">
        <v>2787</v>
      </c>
      <c r="L141" s="20">
        <v>7632</v>
      </c>
      <c r="N141"/>
      <c r="O141"/>
      <c r="P141"/>
    </row>
    <row r="142" spans="1:21" x14ac:dyDescent="0.25">
      <c r="A142" s="19" t="s">
        <v>5</v>
      </c>
      <c r="B142" s="15">
        <v>2015</v>
      </c>
      <c r="C142" s="15" t="s">
        <v>40</v>
      </c>
      <c r="D142" s="15" t="s">
        <v>41</v>
      </c>
      <c r="E142" s="15" t="s">
        <v>50</v>
      </c>
      <c r="F142" s="15">
        <v>791</v>
      </c>
      <c r="G142" s="15">
        <v>4207</v>
      </c>
      <c r="H142" s="15">
        <v>2257</v>
      </c>
      <c r="I142" s="15">
        <v>5163</v>
      </c>
      <c r="J142" s="15">
        <v>6789</v>
      </c>
      <c r="K142" s="15">
        <v>2897</v>
      </c>
      <c r="L142" s="20">
        <v>3670</v>
      </c>
      <c r="N142"/>
      <c r="O142"/>
      <c r="P142"/>
    </row>
    <row r="143" spans="1:21" x14ac:dyDescent="0.25">
      <c r="A143" s="19" t="s">
        <v>12</v>
      </c>
      <c r="B143" s="15">
        <v>2016</v>
      </c>
      <c r="C143" s="15" t="s">
        <v>37</v>
      </c>
      <c r="D143" s="15" t="s">
        <v>41</v>
      </c>
      <c r="E143" s="15" t="s">
        <v>49</v>
      </c>
      <c r="F143" s="15">
        <v>8748</v>
      </c>
      <c r="G143" s="15">
        <v>2199</v>
      </c>
      <c r="H143" s="15">
        <v>9140</v>
      </c>
      <c r="I143" s="15">
        <v>9014</v>
      </c>
      <c r="J143" s="15">
        <v>2340</v>
      </c>
      <c r="K143" s="15">
        <v>3875</v>
      </c>
      <c r="L143" s="20">
        <v>9176</v>
      </c>
      <c r="N143"/>
      <c r="O143"/>
      <c r="P143"/>
    </row>
    <row r="144" spans="1:21" x14ac:dyDescent="0.25">
      <c r="A144" s="19" t="s">
        <v>2</v>
      </c>
      <c r="B144" s="15">
        <v>2016</v>
      </c>
      <c r="C144" s="15" t="s">
        <v>37</v>
      </c>
      <c r="D144" s="15" t="s">
        <v>39</v>
      </c>
      <c r="E144" s="15" t="s">
        <v>49</v>
      </c>
      <c r="F144" s="15">
        <v>6917</v>
      </c>
      <c r="G144" s="15">
        <v>640</v>
      </c>
      <c r="H144" s="15">
        <v>2245</v>
      </c>
      <c r="I144" s="15">
        <v>2438</v>
      </c>
      <c r="J144" s="15">
        <v>4249</v>
      </c>
      <c r="K144" s="15">
        <v>5199</v>
      </c>
      <c r="L144" s="20">
        <v>1307</v>
      </c>
      <c r="N144"/>
      <c r="O144"/>
      <c r="P144"/>
    </row>
    <row r="145" spans="1:16" x14ac:dyDescent="0.25">
      <c r="A145" s="19" t="s">
        <v>7</v>
      </c>
      <c r="B145" s="15">
        <v>2015</v>
      </c>
      <c r="C145" s="15" t="s">
        <v>43</v>
      </c>
      <c r="D145" s="15" t="s">
        <v>39</v>
      </c>
      <c r="E145" s="15" t="s">
        <v>50</v>
      </c>
      <c r="F145" s="15">
        <v>5807</v>
      </c>
      <c r="G145" s="15">
        <v>3072</v>
      </c>
      <c r="H145" s="15">
        <v>594</v>
      </c>
      <c r="I145" s="15">
        <v>5049</v>
      </c>
      <c r="J145" s="15">
        <v>3750</v>
      </c>
      <c r="K145" s="15">
        <v>3043</v>
      </c>
      <c r="L145" s="20">
        <v>3242</v>
      </c>
      <c r="N145"/>
      <c r="O145"/>
      <c r="P145"/>
    </row>
    <row r="146" spans="1:16" x14ac:dyDescent="0.25">
      <c r="A146" s="19" t="s">
        <v>12</v>
      </c>
      <c r="B146" s="15">
        <v>2014</v>
      </c>
      <c r="C146" s="15" t="s">
        <v>37</v>
      </c>
      <c r="D146" s="15" t="s">
        <v>14</v>
      </c>
      <c r="E146" s="15" t="s">
        <v>48</v>
      </c>
      <c r="F146" s="15">
        <v>1027</v>
      </c>
      <c r="G146" s="15">
        <v>6426</v>
      </c>
      <c r="H146" s="15">
        <v>9728</v>
      </c>
      <c r="I146" s="15">
        <v>2598</v>
      </c>
      <c r="J146" s="15">
        <v>8608</v>
      </c>
      <c r="K146" s="15">
        <v>2415</v>
      </c>
      <c r="L146" s="20">
        <v>9080</v>
      </c>
      <c r="N146"/>
      <c r="O146"/>
      <c r="P146"/>
    </row>
    <row r="147" spans="1:16" x14ac:dyDescent="0.25">
      <c r="A147" s="19" t="s">
        <v>8</v>
      </c>
      <c r="B147" s="15">
        <v>2017</v>
      </c>
      <c r="C147" s="15" t="s">
        <v>40</v>
      </c>
      <c r="D147" s="15" t="s">
        <v>41</v>
      </c>
      <c r="E147" s="15" t="s">
        <v>48</v>
      </c>
      <c r="F147" s="15">
        <v>6262</v>
      </c>
      <c r="G147" s="15">
        <v>6663</v>
      </c>
      <c r="H147" s="15">
        <v>3581</v>
      </c>
      <c r="I147" s="15">
        <v>8561</v>
      </c>
      <c r="J147" s="15">
        <v>9673</v>
      </c>
      <c r="K147" s="15">
        <v>4149</v>
      </c>
      <c r="L147" s="20">
        <v>2384</v>
      </c>
      <c r="N147"/>
      <c r="O147"/>
      <c r="P147"/>
    </row>
    <row r="148" spans="1:16" x14ac:dyDescent="0.25">
      <c r="A148" s="19" t="s">
        <v>8</v>
      </c>
      <c r="B148" s="15">
        <v>2018</v>
      </c>
      <c r="C148" s="15" t="s">
        <v>43</v>
      </c>
      <c r="D148" s="15" t="s">
        <v>41</v>
      </c>
      <c r="E148" s="15" t="s">
        <v>50</v>
      </c>
      <c r="F148" s="15">
        <v>1022</v>
      </c>
      <c r="G148" s="15">
        <v>2151</v>
      </c>
      <c r="H148" s="15">
        <v>2552</v>
      </c>
      <c r="I148" s="15">
        <v>9925</v>
      </c>
      <c r="J148" s="15">
        <v>3357</v>
      </c>
      <c r="K148" s="15">
        <v>7431</v>
      </c>
      <c r="L148" s="20">
        <v>7491</v>
      </c>
      <c r="N148"/>
      <c r="O148"/>
      <c r="P148"/>
    </row>
    <row r="149" spans="1:16" x14ac:dyDescent="0.25">
      <c r="A149" s="19" t="s">
        <v>8</v>
      </c>
      <c r="B149" s="15">
        <v>2017</v>
      </c>
      <c r="C149" s="15" t="s">
        <v>43</v>
      </c>
      <c r="D149" s="15" t="s">
        <v>14</v>
      </c>
      <c r="E149" s="15" t="s">
        <v>49</v>
      </c>
      <c r="F149" s="15">
        <v>5410</v>
      </c>
      <c r="G149" s="15">
        <v>9729</v>
      </c>
      <c r="H149" s="15">
        <v>7002</v>
      </c>
      <c r="I149" s="15">
        <v>5460</v>
      </c>
      <c r="J149" s="15">
        <v>5410</v>
      </c>
      <c r="K149" s="15">
        <v>9458</v>
      </c>
      <c r="L149" s="20">
        <v>6842</v>
      </c>
      <c r="N149"/>
      <c r="O149"/>
      <c r="P149"/>
    </row>
    <row r="150" spans="1:16" x14ac:dyDescent="0.25">
      <c r="A150" s="19" t="s">
        <v>12</v>
      </c>
      <c r="B150" s="15">
        <v>2018</v>
      </c>
      <c r="C150" s="15" t="s">
        <v>37</v>
      </c>
      <c r="D150" s="15" t="s">
        <v>14</v>
      </c>
      <c r="E150" s="15" t="s">
        <v>48</v>
      </c>
      <c r="F150" s="15">
        <v>3731</v>
      </c>
      <c r="G150" s="15">
        <v>4571</v>
      </c>
      <c r="H150" s="15">
        <v>3247</v>
      </c>
      <c r="I150" s="15">
        <v>5843</v>
      </c>
      <c r="J150" s="15">
        <v>1923</v>
      </c>
      <c r="K150" s="15">
        <v>4784</v>
      </c>
      <c r="L150" s="20">
        <v>5293</v>
      </c>
      <c r="N150"/>
      <c r="O150"/>
      <c r="P150"/>
    </row>
    <row r="151" spans="1:16" x14ac:dyDescent="0.25">
      <c r="A151" s="19" t="s">
        <v>13</v>
      </c>
      <c r="B151" s="15">
        <v>2018</v>
      </c>
      <c r="C151" s="15" t="s">
        <v>43</v>
      </c>
      <c r="D151" s="15" t="s">
        <v>41</v>
      </c>
      <c r="E151" s="15" t="s">
        <v>48</v>
      </c>
      <c r="F151" s="15">
        <v>7422</v>
      </c>
      <c r="G151" s="15">
        <v>1456</v>
      </c>
      <c r="H151" s="15">
        <v>6409</v>
      </c>
      <c r="I151" s="15">
        <v>7926</v>
      </c>
      <c r="J151" s="15">
        <v>7733</v>
      </c>
      <c r="K151" s="15">
        <v>9573</v>
      </c>
      <c r="L151" s="20">
        <v>5967</v>
      </c>
      <c r="N151"/>
      <c r="O151"/>
      <c r="P151"/>
    </row>
    <row r="152" spans="1:16" x14ac:dyDescent="0.25">
      <c r="A152" s="19" t="s">
        <v>2</v>
      </c>
      <c r="B152" s="15">
        <v>2018</v>
      </c>
      <c r="C152" s="15" t="s">
        <v>42</v>
      </c>
      <c r="D152" s="15" t="s">
        <v>39</v>
      </c>
      <c r="E152" s="15" t="s">
        <v>50</v>
      </c>
      <c r="F152" s="15">
        <v>5248</v>
      </c>
      <c r="G152" s="15">
        <v>2040</v>
      </c>
      <c r="H152" s="15">
        <v>5659</v>
      </c>
      <c r="I152" s="15">
        <v>889</v>
      </c>
      <c r="J152" s="15">
        <v>4506</v>
      </c>
      <c r="K152" s="15">
        <v>7001</v>
      </c>
      <c r="L152" s="20">
        <v>6091</v>
      </c>
      <c r="N152"/>
      <c r="O152"/>
      <c r="P152"/>
    </row>
    <row r="153" spans="1:16" x14ac:dyDescent="0.25">
      <c r="A153" s="19" t="s">
        <v>8</v>
      </c>
      <c r="B153" s="15">
        <v>2015</v>
      </c>
      <c r="C153" s="15" t="s">
        <v>38</v>
      </c>
      <c r="D153" s="15" t="s">
        <v>39</v>
      </c>
      <c r="E153" s="15" t="s">
        <v>50</v>
      </c>
      <c r="F153" s="15">
        <v>6287</v>
      </c>
      <c r="G153" s="15">
        <v>1825</v>
      </c>
      <c r="H153" s="15">
        <v>7409</v>
      </c>
      <c r="I153" s="15">
        <v>5863</v>
      </c>
      <c r="J153" s="15">
        <v>6466</v>
      </c>
      <c r="K153" s="15">
        <v>6703</v>
      </c>
      <c r="L153" s="20">
        <v>5285</v>
      </c>
      <c r="N153"/>
      <c r="O153"/>
      <c r="P153"/>
    </row>
    <row r="154" spans="1:16" x14ac:dyDescent="0.25">
      <c r="A154" s="19" t="s">
        <v>8</v>
      </c>
      <c r="B154" s="15">
        <v>2016</v>
      </c>
      <c r="C154" s="15" t="s">
        <v>42</v>
      </c>
      <c r="D154" s="15" t="s">
        <v>14</v>
      </c>
      <c r="E154" s="15" t="s">
        <v>50</v>
      </c>
      <c r="F154" s="15">
        <v>5996</v>
      </c>
      <c r="G154" s="15">
        <v>2889</v>
      </c>
      <c r="H154" s="15">
        <v>8138</v>
      </c>
      <c r="I154" s="15">
        <v>319</v>
      </c>
      <c r="J154" s="15">
        <v>1401</v>
      </c>
      <c r="K154" s="15">
        <v>6522</v>
      </c>
      <c r="L154" s="20">
        <v>3665</v>
      </c>
      <c r="N154"/>
      <c r="O154"/>
      <c r="P154"/>
    </row>
    <row r="155" spans="1:16" x14ac:dyDescent="0.25">
      <c r="A155" s="19" t="s">
        <v>4</v>
      </c>
      <c r="B155" s="15">
        <v>2017</v>
      </c>
      <c r="C155" s="15" t="s">
        <v>40</v>
      </c>
      <c r="D155" s="15" t="s">
        <v>39</v>
      </c>
      <c r="E155" s="15" t="s">
        <v>48</v>
      </c>
      <c r="F155" s="15">
        <v>8016</v>
      </c>
      <c r="G155" s="15">
        <v>710</v>
      </c>
      <c r="H155" s="15">
        <v>1462</v>
      </c>
      <c r="I155" s="15">
        <v>3063</v>
      </c>
      <c r="J155" s="15">
        <v>9561</v>
      </c>
      <c r="K155" s="15">
        <v>2113</v>
      </c>
      <c r="L155" s="20">
        <v>922</v>
      </c>
      <c r="N155"/>
      <c r="O155"/>
      <c r="P155"/>
    </row>
    <row r="156" spans="1:16" x14ac:dyDescent="0.25">
      <c r="A156" s="19" t="s">
        <v>7</v>
      </c>
      <c r="B156" s="15">
        <v>2014</v>
      </c>
      <c r="C156" s="15" t="s">
        <v>42</v>
      </c>
      <c r="D156" s="15" t="s">
        <v>41</v>
      </c>
      <c r="E156" s="15" t="s">
        <v>50</v>
      </c>
      <c r="F156" s="15">
        <v>810</v>
      </c>
      <c r="G156" s="15">
        <v>3131</v>
      </c>
      <c r="H156" s="15">
        <v>8489</v>
      </c>
      <c r="I156" s="15">
        <v>8037</v>
      </c>
      <c r="J156" s="15">
        <v>2499</v>
      </c>
      <c r="K156" s="15">
        <v>8745</v>
      </c>
      <c r="L156" s="20">
        <v>3883</v>
      </c>
      <c r="N156"/>
      <c r="O156"/>
      <c r="P156"/>
    </row>
    <row r="157" spans="1:16" x14ac:dyDescent="0.25">
      <c r="A157" s="19" t="s">
        <v>10</v>
      </c>
      <c r="B157" s="15">
        <v>2016</v>
      </c>
      <c r="C157" s="15" t="s">
        <v>42</v>
      </c>
      <c r="D157" s="15" t="s">
        <v>39</v>
      </c>
      <c r="E157" s="15" t="s">
        <v>48</v>
      </c>
      <c r="F157" s="15">
        <v>7030</v>
      </c>
      <c r="G157" s="15">
        <v>8396</v>
      </c>
      <c r="H157" s="15">
        <v>7073</v>
      </c>
      <c r="I157" s="15">
        <v>7723</v>
      </c>
      <c r="J157" s="15">
        <v>7546</v>
      </c>
      <c r="K157" s="15">
        <v>7974</v>
      </c>
      <c r="L157" s="20">
        <v>7942</v>
      </c>
      <c r="N157"/>
      <c r="O157"/>
      <c r="P157"/>
    </row>
    <row r="158" spans="1:16" x14ac:dyDescent="0.25">
      <c r="A158" s="19" t="s">
        <v>6</v>
      </c>
      <c r="B158" s="15">
        <v>2017</v>
      </c>
      <c r="C158" s="15" t="s">
        <v>38</v>
      </c>
      <c r="D158" s="15" t="s">
        <v>39</v>
      </c>
      <c r="E158" s="15" t="s">
        <v>48</v>
      </c>
      <c r="F158" s="15">
        <v>9867</v>
      </c>
      <c r="G158" s="15">
        <v>6153</v>
      </c>
      <c r="H158" s="15">
        <v>5282</v>
      </c>
      <c r="I158" s="15">
        <v>6877</v>
      </c>
      <c r="J158" s="15">
        <v>1770</v>
      </c>
      <c r="K158" s="15">
        <v>6146</v>
      </c>
      <c r="L158" s="20">
        <v>5178</v>
      </c>
      <c r="N158"/>
      <c r="O158"/>
      <c r="P158"/>
    </row>
    <row r="159" spans="1:16" x14ac:dyDescent="0.25">
      <c r="A159" s="19" t="s">
        <v>13</v>
      </c>
      <c r="B159" s="15">
        <v>2017</v>
      </c>
      <c r="C159" s="15" t="s">
        <v>43</v>
      </c>
      <c r="D159" s="15" t="s">
        <v>14</v>
      </c>
      <c r="E159" s="15" t="s">
        <v>50</v>
      </c>
      <c r="F159" s="15">
        <v>1</v>
      </c>
      <c r="G159" s="15">
        <v>2544</v>
      </c>
      <c r="H159" s="15">
        <v>3131</v>
      </c>
      <c r="I159" s="15">
        <v>9529</v>
      </c>
      <c r="J159" s="15">
        <v>4887</v>
      </c>
      <c r="K159" s="15">
        <v>1955</v>
      </c>
      <c r="L159" s="20">
        <v>7033</v>
      </c>
      <c r="N159"/>
      <c r="O159"/>
      <c r="P159"/>
    </row>
    <row r="160" spans="1:16" x14ac:dyDescent="0.25">
      <c r="A160" s="19" t="s">
        <v>13</v>
      </c>
      <c r="B160" s="15">
        <v>2018</v>
      </c>
      <c r="C160" s="15" t="s">
        <v>40</v>
      </c>
      <c r="D160" s="15" t="s">
        <v>39</v>
      </c>
      <c r="E160" s="15" t="s">
        <v>48</v>
      </c>
      <c r="F160" s="15">
        <v>679</v>
      </c>
      <c r="G160" s="15">
        <v>7809</v>
      </c>
      <c r="H160" s="15">
        <v>5262</v>
      </c>
      <c r="I160" s="15">
        <v>4540</v>
      </c>
      <c r="J160" s="15">
        <v>2000</v>
      </c>
      <c r="K160" s="15">
        <v>2253</v>
      </c>
      <c r="L160" s="20">
        <v>827</v>
      </c>
      <c r="N160"/>
      <c r="O160"/>
      <c r="P160"/>
    </row>
    <row r="161" spans="1:16" x14ac:dyDescent="0.25">
      <c r="A161" s="19" t="s">
        <v>3</v>
      </c>
      <c r="B161" s="15">
        <v>2015</v>
      </c>
      <c r="C161" s="15" t="s">
        <v>42</v>
      </c>
      <c r="D161" s="15" t="s">
        <v>39</v>
      </c>
      <c r="E161" s="15" t="s">
        <v>50</v>
      </c>
      <c r="F161" s="15">
        <v>8481</v>
      </c>
      <c r="G161" s="15">
        <v>9496</v>
      </c>
      <c r="H161" s="15">
        <v>4459</v>
      </c>
      <c r="I161" s="15">
        <v>8726</v>
      </c>
      <c r="J161" s="15">
        <v>1247</v>
      </c>
      <c r="K161" s="15">
        <v>1710</v>
      </c>
      <c r="L161" s="20">
        <v>3018</v>
      </c>
      <c r="N161"/>
      <c r="O161"/>
      <c r="P161"/>
    </row>
    <row r="162" spans="1:16" x14ac:dyDescent="0.25">
      <c r="A162" s="19" t="s">
        <v>6</v>
      </c>
      <c r="B162" s="15">
        <v>2017</v>
      </c>
      <c r="C162" s="15" t="s">
        <v>42</v>
      </c>
      <c r="D162" s="15" t="s">
        <v>41</v>
      </c>
      <c r="E162" s="15" t="s">
        <v>48</v>
      </c>
      <c r="F162" s="15">
        <v>222</v>
      </c>
      <c r="G162" s="15">
        <v>7794</v>
      </c>
      <c r="H162" s="15">
        <v>9531</v>
      </c>
      <c r="I162" s="15">
        <v>9591</v>
      </c>
      <c r="J162" s="15">
        <v>1509</v>
      </c>
      <c r="K162" s="15">
        <v>8000</v>
      </c>
      <c r="L162" s="20">
        <v>7448</v>
      </c>
      <c r="N162"/>
      <c r="O162"/>
      <c r="P162"/>
    </row>
    <row r="163" spans="1:16" x14ac:dyDescent="0.25">
      <c r="A163" s="19" t="s">
        <v>6</v>
      </c>
      <c r="B163" s="15">
        <v>2018</v>
      </c>
      <c r="C163" s="15" t="s">
        <v>42</v>
      </c>
      <c r="D163" s="15" t="s">
        <v>41</v>
      </c>
      <c r="E163" s="15" t="s">
        <v>50</v>
      </c>
      <c r="F163" s="15">
        <v>8526</v>
      </c>
      <c r="G163" s="15">
        <v>9601</v>
      </c>
      <c r="H163" s="15">
        <v>1820</v>
      </c>
      <c r="I163" s="15">
        <v>9652</v>
      </c>
      <c r="J163" s="15">
        <v>2952</v>
      </c>
      <c r="K163" s="15">
        <v>5670</v>
      </c>
      <c r="L163" s="20">
        <v>5728</v>
      </c>
      <c r="N163"/>
      <c r="O163"/>
      <c r="P163"/>
    </row>
    <row r="164" spans="1:16" x14ac:dyDescent="0.25">
      <c r="A164" s="19" t="s">
        <v>12</v>
      </c>
      <c r="B164" s="15">
        <v>2018</v>
      </c>
      <c r="C164" s="15" t="s">
        <v>43</v>
      </c>
      <c r="D164" s="15" t="s">
        <v>41</v>
      </c>
      <c r="E164" s="15" t="s">
        <v>49</v>
      </c>
      <c r="F164" s="15">
        <v>5525</v>
      </c>
      <c r="G164" s="15">
        <v>5182</v>
      </c>
      <c r="H164" s="15">
        <v>7478</v>
      </c>
      <c r="I164" s="15">
        <v>9696</v>
      </c>
      <c r="J164" s="15">
        <v>7267</v>
      </c>
      <c r="K164" s="15">
        <v>8930</v>
      </c>
      <c r="L164" s="20">
        <v>5311</v>
      </c>
      <c r="N164"/>
      <c r="O164"/>
      <c r="P164"/>
    </row>
    <row r="165" spans="1:16" x14ac:dyDescent="0.25">
      <c r="A165" s="19" t="s">
        <v>10</v>
      </c>
      <c r="B165" s="15">
        <v>2018</v>
      </c>
      <c r="C165" s="15" t="s">
        <v>38</v>
      </c>
      <c r="D165" s="15" t="s">
        <v>39</v>
      </c>
      <c r="E165" s="15" t="s">
        <v>49</v>
      </c>
      <c r="F165" s="15">
        <v>7421</v>
      </c>
      <c r="G165" s="15">
        <v>4630</v>
      </c>
      <c r="H165" s="15">
        <v>2114</v>
      </c>
      <c r="I165" s="15">
        <v>5224</v>
      </c>
      <c r="J165" s="15">
        <v>7870</v>
      </c>
      <c r="K165" s="15">
        <v>2524</v>
      </c>
      <c r="L165" s="20">
        <v>4257</v>
      </c>
      <c r="N165"/>
      <c r="O165"/>
      <c r="P165"/>
    </row>
    <row r="166" spans="1:16" x14ac:dyDescent="0.25">
      <c r="A166" s="19" t="s">
        <v>7</v>
      </c>
      <c r="B166" s="15">
        <v>2015</v>
      </c>
      <c r="C166" s="15" t="s">
        <v>37</v>
      </c>
      <c r="D166" s="15" t="s">
        <v>14</v>
      </c>
      <c r="E166" s="15" t="s">
        <v>50</v>
      </c>
      <c r="F166" s="15">
        <v>7598</v>
      </c>
      <c r="G166" s="15">
        <v>2229</v>
      </c>
      <c r="H166" s="15">
        <v>290</v>
      </c>
      <c r="I166" s="15">
        <v>202</v>
      </c>
      <c r="J166" s="15">
        <v>7460</v>
      </c>
      <c r="K166" s="15">
        <v>4062</v>
      </c>
      <c r="L166" s="20">
        <v>3689</v>
      </c>
      <c r="N166"/>
      <c r="O166"/>
      <c r="P166"/>
    </row>
    <row r="167" spans="1:16" x14ac:dyDescent="0.25">
      <c r="A167" s="19" t="s">
        <v>4</v>
      </c>
      <c r="B167" s="15">
        <v>2018</v>
      </c>
      <c r="C167" s="15" t="s">
        <v>42</v>
      </c>
      <c r="D167" s="15" t="s">
        <v>14</v>
      </c>
      <c r="E167" s="15" t="s">
        <v>48</v>
      </c>
      <c r="F167" s="15">
        <v>2782</v>
      </c>
      <c r="G167" s="15">
        <v>7107</v>
      </c>
      <c r="H167" s="15">
        <v>5962</v>
      </c>
      <c r="I167" s="15">
        <v>9299</v>
      </c>
      <c r="J167" s="15">
        <v>4299</v>
      </c>
      <c r="K167" s="15">
        <v>3465</v>
      </c>
      <c r="L167" s="20">
        <v>3945</v>
      </c>
      <c r="N167"/>
      <c r="O167"/>
      <c r="P167"/>
    </row>
    <row r="168" spans="1:16" x14ac:dyDescent="0.25">
      <c r="A168" s="19" t="s">
        <v>10</v>
      </c>
      <c r="B168" s="15">
        <v>2016</v>
      </c>
      <c r="C168" s="15" t="s">
        <v>42</v>
      </c>
      <c r="D168" s="15" t="s">
        <v>14</v>
      </c>
      <c r="E168" s="15" t="s">
        <v>48</v>
      </c>
      <c r="F168" s="15">
        <v>9768</v>
      </c>
      <c r="G168" s="15">
        <v>725</v>
      </c>
      <c r="H168" s="15">
        <v>8131</v>
      </c>
      <c r="I168" s="15">
        <v>8766</v>
      </c>
      <c r="J168" s="15">
        <v>1203</v>
      </c>
      <c r="K168" s="15">
        <v>6410</v>
      </c>
      <c r="L168" s="20">
        <v>9005</v>
      </c>
      <c r="N168"/>
      <c r="O168"/>
      <c r="P168"/>
    </row>
    <row r="169" spans="1:16" x14ac:dyDescent="0.25">
      <c r="A169" s="19" t="s">
        <v>7</v>
      </c>
      <c r="B169" s="15">
        <v>2018</v>
      </c>
      <c r="C169" s="15" t="s">
        <v>37</v>
      </c>
      <c r="D169" s="15" t="s">
        <v>39</v>
      </c>
      <c r="E169" s="15" t="s">
        <v>48</v>
      </c>
      <c r="F169" s="15">
        <v>410</v>
      </c>
      <c r="G169" s="15">
        <v>3497</v>
      </c>
      <c r="H169" s="15">
        <v>4316</v>
      </c>
      <c r="I169" s="15">
        <v>5755</v>
      </c>
      <c r="J169" s="15">
        <v>2785</v>
      </c>
      <c r="K169" s="15">
        <v>4430</v>
      </c>
      <c r="L169" s="20">
        <v>9566</v>
      </c>
      <c r="N169"/>
      <c r="O169"/>
      <c r="P169"/>
    </row>
    <row r="170" spans="1:16" x14ac:dyDescent="0.25">
      <c r="A170" s="19" t="s">
        <v>11</v>
      </c>
      <c r="B170" s="15">
        <v>2017</v>
      </c>
      <c r="C170" s="15" t="s">
        <v>40</v>
      </c>
      <c r="D170" s="15" t="s">
        <v>14</v>
      </c>
      <c r="E170" s="15" t="s">
        <v>48</v>
      </c>
      <c r="F170" s="15">
        <v>9605</v>
      </c>
      <c r="G170" s="15">
        <v>7913</v>
      </c>
      <c r="H170" s="15">
        <v>6848</v>
      </c>
      <c r="I170" s="15">
        <v>112</v>
      </c>
      <c r="J170" s="15">
        <v>6026</v>
      </c>
      <c r="K170" s="15">
        <v>3067</v>
      </c>
      <c r="L170" s="20">
        <v>6047</v>
      </c>
      <c r="N170"/>
      <c r="O170"/>
      <c r="P170"/>
    </row>
    <row r="171" spans="1:16" x14ac:dyDescent="0.25">
      <c r="A171" s="19" t="s">
        <v>8</v>
      </c>
      <c r="B171" s="15">
        <v>2017</v>
      </c>
      <c r="C171" s="15" t="s">
        <v>37</v>
      </c>
      <c r="D171" s="15" t="s">
        <v>41</v>
      </c>
      <c r="E171" s="15" t="s">
        <v>48</v>
      </c>
      <c r="F171" s="15">
        <v>553</v>
      </c>
      <c r="G171" s="15">
        <v>440</v>
      </c>
      <c r="H171" s="15">
        <v>3826</v>
      </c>
      <c r="I171" s="15">
        <v>6350</v>
      </c>
      <c r="J171" s="15">
        <v>9444</v>
      </c>
      <c r="K171" s="15">
        <v>3327</v>
      </c>
      <c r="L171" s="20">
        <v>4271</v>
      </c>
      <c r="N171"/>
      <c r="O171"/>
      <c r="P171"/>
    </row>
    <row r="172" spans="1:16" x14ac:dyDescent="0.25">
      <c r="A172" s="19" t="s">
        <v>9</v>
      </c>
      <c r="B172" s="15">
        <v>2017</v>
      </c>
      <c r="C172" s="15" t="s">
        <v>37</v>
      </c>
      <c r="D172" s="15" t="s">
        <v>41</v>
      </c>
      <c r="E172" s="15" t="s">
        <v>48</v>
      </c>
      <c r="F172" s="15">
        <v>2239</v>
      </c>
      <c r="G172" s="15">
        <v>3097</v>
      </c>
      <c r="H172" s="15">
        <v>2466</v>
      </c>
      <c r="I172" s="15">
        <v>2578</v>
      </c>
      <c r="J172" s="15">
        <v>4790</v>
      </c>
      <c r="K172" s="15">
        <v>5295</v>
      </c>
      <c r="L172" s="20">
        <v>5956</v>
      </c>
      <c r="N172"/>
      <c r="O172"/>
      <c r="P172"/>
    </row>
    <row r="173" spans="1:16" x14ac:dyDescent="0.25">
      <c r="A173" s="19" t="s">
        <v>4</v>
      </c>
      <c r="B173" s="15">
        <v>2014</v>
      </c>
      <c r="C173" s="15" t="s">
        <v>40</v>
      </c>
      <c r="D173" s="15" t="s">
        <v>41</v>
      </c>
      <c r="E173" s="15" t="s">
        <v>49</v>
      </c>
      <c r="F173" s="15">
        <v>6913</v>
      </c>
      <c r="G173" s="15">
        <v>3455</v>
      </c>
      <c r="H173" s="15">
        <v>2390</v>
      </c>
      <c r="I173" s="15">
        <v>946</v>
      </c>
      <c r="J173" s="15">
        <v>8526</v>
      </c>
      <c r="K173" s="15">
        <v>5732</v>
      </c>
      <c r="L173" s="20">
        <v>6940</v>
      </c>
      <c r="N173"/>
      <c r="O173"/>
      <c r="P173"/>
    </row>
    <row r="174" spans="1:16" x14ac:dyDescent="0.25">
      <c r="A174" s="19" t="s">
        <v>12</v>
      </c>
      <c r="B174" s="15">
        <v>2014</v>
      </c>
      <c r="C174" s="15" t="s">
        <v>37</v>
      </c>
      <c r="D174" s="15" t="s">
        <v>14</v>
      </c>
      <c r="E174" s="15" t="s">
        <v>49</v>
      </c>
      <c r="F174" s="15">
        <v>9261</v>
      </c>
      <c r="G174" s="15">
        <v>9459</v>
      </c>
      <c r="H174" s="15">
        <v>3056</v>
      </c>
      <c r="I174" s="15">
        <v>2509</v>
      </c>
      <c r="J174" s="15">
        <v>5169</v>
      </c>
      <c r="K174" s="15">
        <v>6736</v>
      </c>
      <c r="L174" s="20">
        <v>9449</v>
      </c>
      <c r="N174"/>
      <c r="O174"/>
      <c r="P174"/>
    </row>
    <row r="175" spans="1:16" x14ac:dyDescent="0.25">
      <c r="A175" s="19" t="s">
        <v>10</v>
      </c>
      <c r="B175" s="15">
        <v>2017</v>
      </c>
      <c r="C175" s="15" t="s">
        <v>37</v>
      </c>
      <c r="D175" s="15" t="s">
        <v>39</v>
      </c>
      <c r="E175" s="15" t="s">
        <v>49</v>
      </c>
      <c r="F175" s="15">
        <v>5419</v>
      </c>
      <c r="G175" s="15">
        <v>3632</v>
      </c>
      <c r="H175" s="15">
        <v>3352</v>
      </c>
      <c r="I175" s="15">
        <v>19</v>
      </c>
      <c r="J175" s="15">
        <v>8783</v>
      </c>
      <c r="K175" s="15">
        <v>3692</v>
      </c>
      <c r="L175" s="20">
        <v>3440</v>
      </c>
      <c r="N175"/>
      <c r="O175"/>
      <c r="P175"/>
    </row>
    <row r="176" spans="1:16" x14ac:dyDescent="0.25">
      <c r="A176" s="19" t="s">
        <v>2</v>
      </c>
      <c r="B176" s="15">
        <v>2014</v>
      </c>
      <c r="C176" s="15" t="s">
        <v>42</v>
      </c>
      <c r="D176" s="15" t="s">
        <v>41</v>
      </c>
      <c r="E176" s="15" t="s">
        <v>48</v>
      </c>
      <c r="F176" s="15">
        <v>2728</v>
      </c>
      <c r="G176" s="15">
        <v>471</v>
      </c>
      <c r="H176" s="15">
        <v>1896</v>
      </c>
      <c r="I176" s="15">
        <v>8900</v>
      </c>
      <c r="J176" s="15">
        <v>3420</v>
      </c>
      <c r="K176" s="15">
        <v>8202</v>
      </c>
      <c r="L176" s="20">
        <v>1714</v>
      </c>
      <c r="N176"/>
      <c r="O176"/>
      <c r="P176"/>
    </row>
    <row r="177" spans="1:16" x14ac:dyDescent="0.25">
      <c r="A177" s="19" t="s">
        <v>2</v>
      </c>
      <c r="B177" s="15">
        <v>2014</v>
      </c>
      <c r="C177" s="15" t="s">
        <v>43</v>
      </c>
      <c r="D177" s="15" t="s">
        <v>39</v>
      </c>
      <c r="E177" s="15" t="s">
        <v>50</v>
      </c>
      <c r="F177" s="15">
        <v>2528</v>
      </c>
      <c r="G177" s="15">
        <v>5312</v>
      </c>
      <c r="H177" s="15">
        <v>8805</v>
      </c>
      <c r="I177" s="15">
        <v>3888</v>
      </c>
      <c r="J177" s="15">
        <v>3875</v>
      </c>
      <c r="K177" s="15">
        <v>6483</v>
      </c>
      <c r="L177" s="20">
        <v>1218</v>
      </c>
      <c r="N177"/>
      <c r="O177"/>
      <c r="P177"/>
    </row>
    <row r="178" spans="1:16" x14ac:dyDescent="0.25">
      <c r="A178" s="19" t="s">
        <v>13</v>
      </c>
      <c r="B178" s="15">
        <v>2016</v>
      </c>
      <c r="C178" s="15" t="s">
        <v>37</v>
      </c>
      <c r="D178" s="15" t="s">
        <v>39</v>
      </c>
      <c r="E178" s="15" t="s">
        <v>50</v>
      </c>
      <c r="F178" s="15">
        <v>6130</v>
      </c>
      <c r="G178" s="15">
        <v>9968</v>
      </c>
      <c r="H178" s="15">
        <v>4597</v>
      </c>
      <c r="I178" s="15">
        <v>4694</v>
      </c>
      <c r="J178" s="15">
        <v>85</v>
      </c>
      <c r="K178" s="15">
        <v>284</v>
      </c>
      <c r="L178" s="20">
        <v>9156</v>
      </c>
      <c r="N178"/>
      <c r="O178"/>
      <c r="P178"/>
    </row>
    <row r="179" spans="1:16" x14ac:dyDescent="0.25">
      <c r="A179" s="19" t="s">
        <v>7</v>
      </c>
      <c r="B179" s="15">
        <v>2015</v>
      </c>
      <c r="C179" s="15" t="s">
        <v>43</v>
      </c>
      <c r="D179" s="15" t="s">
        <v>41</v>
      </c>
      <c r="E179" s="15" t="s">
        <v>50</v>
      </c>
      <c r="F179" s="15">
        <v>555</v>
      </c>
      <c r="G179" s="15">
        <v>3271</v>
      </c>
      <c r="H179" s="15">
        <v>6610</v>
      </c>
      <c r="I179" s="15">
        <v>4095</v>
      </c>
      <c r="J179" s="15">
        <v>3032</v>
      </c>
      <c r="K179" s="15">
        <v>5525</v>
      </c>
      <c r="L179" s="20">
        <v>8416</v>
      </c>
      <c r="N179"/>
      <c r="O179"/>
      <c r="P179"/>
    </row>
    <row r="180" spans="1:16" x14ac:dyDescent="0.25">
      <c r="A180" s="19" t="s">
        <v>11</v>
      </c>
      <c r="B180" s="15">
        <v>2016</v>
      </c>
      <c r="C180" s="15" t="s">
        <v>43</v>
      </c>
      <c r="D180" s="15" t="s">
        <v>14</v>
      </c>
      <c r="E180" s="15" t="s">
        <v>50</v>
      </c>
      <c r="F180" s="15">
        <v>250</v>
      </c>
      <c r="G180" s="15">
        <v>3992</v>
      </c>
      <c r="H180" s="15">
        <v>65</v>
      </c>
      <c r="I180" s="15">
        <v>8540</v>
      </c>
      <c r="J180" s="15">
        <v>8185</v>
      </c>
      <c r="K180" s="15">
        <v>7331</v>
      </c>
      <c r="L180" s="20">
        <v>3246</v>
      </c>
      <c r="N180"/>
      <c r="O180"/>
      <c r="P180"/>
    </row>
    <row r="181" spans="1:16" x14ac:dyDescent="0.25">
      <c r="A181" s="19" t="s">
        <v>6</v>
      </c>
      <c r="B181" s="15">
        <v>2015</v>
      </c>
      <c r="C181" s="15" t="s">
        <v>40</v>
      </c>
      <c r="D181" s="15" t="s">
        <v>41</v>
      </c>
      <c r="E181" s="15" t="s">
        <v>49</v>
      </c>
      <c r="F181" s="15">
        <v>1441</v>
      </c>
      <c r="G181" s="15">
        <v>1220</v>
      </c>
      <c r="H181" s="15">
        <v>5555</v>
      </c>
      <c r="I181" s="15">
        <v>2460</v>
      </c>
      <c r="J181" s="15">
        <v>6180</v>
      </c>
      <c r="K181" s="15">
        <v>2249</v>
      </c>
      <c r="L181" s="20">
        <v>2580</v>
      </c>
      <c r="N181"/>
      <c r="O181"/>
      <c r="P181"/>
    </row>
    <row r="182" spans="1:16" x14ac:dyDescent="0.25">
      <c r="A182" s="19" t="s">
        <v>6</v>
      </c>
      <c r="B182" s="15">
        <v>2018</v>
      </c>
      <c r="C182" s="15" t="s">
        <v>43</v>
      </c>
      <c r="D182" s="15" t="s">
        <v>41</v>
      </c>
      <c r="E182" s="15" t="s">
        <v>50</v>
      </c>
      <c r="F182" s="15">
        <v>4688</v>
      </c>
      <c r="G182" s="15">
        <v>6301</v>
      </c>
      <c r="H182" s="15">
        <v>8283</v>
      </c>
      <c r="I182" s="15">
        <v>7611</v>
      </c>
      <c r="J182" s="15">
        <v>2458</v>
      </c>
      <c r="K182" s="15">
        <v>5504</v>
      </c>
      <c r="L182" s="20">
        <v>936</v>
      </c>
      <c r="N182"/>
      <c r="O182"/>
      <c r="P182"/>
    </row>
    <row r="183" spans="1:16" x14ac:dyDescent="0.25">
      <c r="A183" s="19" t="s">
        <v>7</v>
      </c>
      <c r="B183" s="15">
        <v>2014</v>
      </c>
      <c r="C183" s="15" t="s">
        <v>42</v>
      </c>
      <c r="D183" s="15" t="s">
        <v>39</v>
      </c>
      <c r="E183" s="15" t="s">
        <v>50</v>
      </c>
      <c r="F183" s="15">
        <v>8891</v>
      </c>
      <c r="G183" s="15">
        <v>5599</v>
      </c>
      <c r="H183" s="15">
        <v>7139</v>
      </c>
      <c r="I183" s="15">
        <v>1507</v>
      </c>
      <c r="J183" s="15">
        <v>6939</v>
      </c>
      <c r="K183" s="15">
        <v>8668</v>
      </c>
      <c r="L183" s="20">
        <v>871</v>
      </c>
      <c r="N183"/>
      <c r="O183"/>
      <c r="P183"/>
    </row>
    <row r="184" spans="1:16" x14ac:dyDescent="0.25">
      <c r="A184" s="19" t="s">
        <v>9</v>
      </c>
      <c r="B184" s="15">
        <v>2015</v>
      </c>
      <c r="C184" s="15" t="s">
        <v>37</v>
      </c>
      <c r="D184" s="15" t="s">
        <v>14</v>
      </c>
      <c r="E184" s="15" t="s">
        <v>49</v>
      </c>
      <c r="F184" s="15">
        <v>2010</v>
      </c>
      <c r="G184" s="15">
        <v>8037</v>
      </c>
      <c r="H184" s="15">
        <v>214</v>
      </c>
      <c r="I184" s="15">
        <v>345</v>
      </c>
      <c r="J184" s="15">
        <v>5536</v>
      </c>
      <c r="K184" s="15">
        <v>264</v>
      </c>
      <c r="L184" s="20">
        <v>4681</v>
      </c>
      <c r="N184"/>
      <c r="O184"/>
      <c r="P184"/>
    </row>
    <row r="185" spans="1:16" x14ac:dyDescent="0.25">
      <c r="A185" s="19" t="s">
        <v>12</v>
      </c>
      <c r="B185" s="15">
        <v>2016</v>
      </c>
      <c r="C185" s="15" t="s">
        <v>37</v>
      </c>
      <c r="D185" s="15" t="s">
        <v>39</v>
      </c>
      <c r="E185" s="15" t="s">
        <v>50</v>
      </c>
      <c r="F185" s="15">
        <v>8476</v>
      </c>
      <c r="G185" s="15">
        <v>7004</v>
      </c>
      <c r="H185" s="15">
        <v>7483</v>
      </c>
      <c r="I185" s="15">
        <v>1657</v>
      </c>
      <c r="J185" s="15">
        <v>2246</v>
      </c>
      <c r="K185" s="15">
        <v>5996</v>
      </c>
      <c r="L185" s="20">
        <v>9018</v>
      </c>
      <c r="N185"/>
      <c r="O185"/>
      <c r="P185"/>
    </row>
    <row r="186" spans="1:16" x14ac:dyDescent="0.25">
      <c r="A186" s="19" t="s">
        <v>13</v>
      </c>
      <c r="B186" s="15">
        <v>2016</v>
      </c>
      <c r="C186" s="15" t="s">
        <v>42</v>
      </c>
      <c r="D186" s="15" t="s">
        <v>41</v>
      </c>
      <c r="E186" s="15" t="s">
        <v>49</v>
      </c>
      <c r="F186" s="15">
        <v>3126</v>
      </c>
      <c r="G186" s="15">
        <v>7352</v>
      </c>
      <c r="H186" s="15">
        <v>4156</v>
      </c>
      <c r="I186" s="15">
        <v>5712</v>
      </c>
      <c r="J186" s="15">
        <v>3775</v>
      </c>
      <c r="K186" s="15">
        <v>6404</v>
      </c>
      <c r="L186" s="20">
        <v>9425</v>
      </c>
      <c r="N186"/>
      <c r="O186"/>
      <c r="P186"/>
    </row>
    <row r="187" spans="1:16" x14ac:dyDescent="0.25">
      <c r="A187" s="19" t="s">
        <v>7</v>
      </c>
      <c r="B187" s="15">
        <v>2016</v>
      </c>
      <c r="C187" s="15" t="s">
        <v>42</v>
      </c>
      <c r="D187" s="15" t="s">
        <v>14</v>
      </c>
      <c r="E187" s="15" t="s">
        <v>48</v>
      </c>
      <c r="F187" s="15">
        <v>2883</v>
      </c>
      <c r="G187" s="15">
        <v>6975</v>
      </c>
      <c r="H187" s="15">
        <v>2601</v>
      </c>
      <c r="I187" s="15">
        <v>8363</v>
      </c>
      <c r="J187" s="15">
        <v>2315</v>
      </c>
      <c r="K187" s="15">
        <v>4552</v>
      </c>
      <c r="L187" s="20">
        <v>5922</v>
      </c>
      <c r="N187"/>
      <c r="O187"/>
      <c r="P187"/>
    </row>
    <row r="188" spans="1:16" x14ac:dyDescent="0.25">
      <c r="A188" s="19" t="s">
        <v>8</v>
      </c>
      <c r="B188" s="15">
        <v>2014</v>
      </c>
      <c r="C188" s="15" t="s">
        <v>40</v>
      </c>
      <c r="D188" s="15" t="s">
        <v>39</v>
      </c>
      <c r="E188" s="15" t="s">
        <v>48</v>
      </c>
      <c r="F188" s="15">
        <v>8917</v>
      </c>
      <c r="G188" s="15">
        <v>2173</v>
      </c>
      <c r="H188" s="15">
        <v>3289</v>
      </c>
      <c r="I188" s="15">
        <v>4966</v>
      </c>
      <c r="J188" s="15">
        <v>9923</v>
      </c>
      <c r="K188" s="15">
        <v>2828</v>
      </c>
      <c r="L188" s="20">
        <v>6748</v>
      </c>
      <c r="N188"/>
      <c r="O188"/>
      <c r="P188"/>
    </row>
    <row r="189" spans="1:16" x14ac:dyDescent="0.25">
      <c r="A189" s="19" t="s">
        <v>9</v>
      </c>
      <c r="B189" s="15">
        <v>2016</v>
      </c>
      <c r="C189" s="15" t="s">
        <v>43</v>
      </c>
      <c r="D189" s="15" t="s">
        <v>39</v>
      </c>
      <c r="E189" s="15" t="s">
        <v>48</v>
      </c>
      <c r="F189" s="15">
        <v>7331</v>
      </c>
      <c r="G189" s="15">
        <v>124</v>
      </c>
      <c r="H189" s="15">
        <v>6149</v>
      </c>
      <c r="I189" s="15">
        <v>437</v>
      </c>
      <c r="J189" s="15">
        <v>9151</v>
      </c>
      <c r="K189" s="15">
        <v>6761</v>
      </c>
      <c r="L189" s="20">
        <v>9008</v>
      </c>
      <c r="N189"/>
      <c r="O189"/>
      <c r="P189"/>
    </row>
    <row r="190" spans="1:16" x14ac:dyDescent="0.25">
      <c r="A190" s="19" t="s">
        <v>6</v>
      </c>
      <c r="B190" s="15">
        <v>2017</v>
      </c>
      <c r="C190" s="15" t="s">
        <v>40</v>
      </c>
      <c r="D190" s="15" t="s">
        <v>41</v>
      </c>
      <c r="E190" s="15" t="s">
        <v>50</v>
      </c>
      <c r="F190" s="15">
        <v>5090</v>
      </c>
      <c r="G190" s="15">
        <v>5044</v>
      </c>
      <c r="H190" s="15">
        <v>9716</v>
      </c>
      <c r="I190" s="15">
        <v>4156</v>
      </c>
      <c r="J190" s="15">
        <v>2791</v>
      </c>
      <c r="K190" s="15">
        <v>583</v>
      </c>
      <c r="L190" s="20">
        <v>7280</v>
      </c>
      <c r="N190"/>
      <c r="O190"/>
      <c r="P190"/>
    </row>
    <row r="191" spans="1:16" x14ac:dyDescent="0.25">
      <c r="A191" s="19" t="s">
        <v>8</v>
      </c>
      <c r="B191" s="15">
        <v>2014</v>
      </c>
      <c r="C191" s="15" t="s">
        <v>40</v>
      </c>
      <c r="D191" s="15" t="s">
        <v>14</v>
      </c>
      <c r="E191" s="15" t="s">
        <v>49</v>
      </c>
      <c r="F191" s="15">
        <v>180</v>
      </c>
      <c r="G191" s="15">
        <v>2626</v>
      </c>
      <c r="H191" s="15">
        <v>9728</v>
      </c>
      <c r="I191" s="15">
        <v>1801</v>
      </c>
      <c r="J191" s="15">
        <v>2754</v>
      </c>
      <c r="K191" s="15">
        <v>301</v>
      </c>
      <c r="L191" s="20">
        <v>9845</v>
      </c>
      <c r="N191"/>
      <c r="O191"/>
      <c r="P191"/>
    </row>
    <row r="192" spans="1:16" x14ac:dyDescent="0.25">
      <c r="A192" s="19" t="s">
        <v>9</v>
      </c>
      <c r="B192" s="15">
        <v>2014</v>
      </c>
      <c r="C192" s="15" t="s">
        <v>37</v>
      </c>
      <c r="D192" s="15" t="s">
        <v>41</v>
      </c>
      <c r="E192" s="15" t="s">
        <v>48</v>
      </c>
      <c r="F192" s="15">
        <v>7380</v>
      </c>
      <c r="G192" s="15">
        <v>2112</v>
      </c>
      <c r="H192" s="15">
        <v>9720</v>
      </c>
      <c r="I192" s="15">
        <v>1313</v>
      </c>
      <c r="J192" s="15">
        <v>8168</v>
      </c>
      <c r="K192" s="15">
        <v>6037</v>
      </c>
      <c r="L192" s="20">
        <v>7106</v>
      </c>
      <c r="N192"/>
      <c r="O192"/>
      <c r="P192"/>
    </row>
    <row r="193" spans="1:16" x14ac:dyDescent="0.25">
      <c r="A193" s="19" t="s">
        <v>6</v>
      </c>
      <c r="B193" s="15">
        <v>2018</v>
      </c>
      <c r="C193" s="15" t="s">
        <v>37</v>
      </c>
      <c r="D193" s="15" t="s">
        <v>41</v>
      </c>
      <c r="E193" s="15" t="s">
        <v>48</v>
      </c>
      <c r="F193" s="15">
        <v>2422</v>
      </c>
      <c r="G193" s="15">
        <v>6989</v>
      </c>
      <c r="H193" s="15">
        <v>5073</v>
      </c>
      <c r="I193" s="15">
        <v>6188</v>
      </c>
      <c r="J193" s="15">
        <v>5794</v>
      </c>
      <c r="K193" s="15">
        <v>5848</v>
      </c>
      <c r="L193" s="20">
        <v>7050</v>
      </c>
      <c r="N193"/>
      <c r="O193"/>
      <c r="P193"/>
    </row>
    <row r="194" spans="1:16" x14ac:dyDescent="0.25">
      <c r="A194" s="19" t="s">
        <v>13</v>
      </c>
      <c r="B194" s="15">
        <v>2014</v>
      </c>
      <c r="C194" s="15" t="s">
        <v>42</v>
      </c>
      <c r="D194" s="15" t="s">
        <v>39</v>
      </c>
      <c r="E194" s="15" t="s">
        <v>49</v>
      </c>
      <c r="F194" s="15">
        <v>7391</v>
      </c>
      <c r="G194" s="15">
        <v>2622</v>
      </c>
      <c r="H194" s="15">
        <v>6197</v>
      </c>
      <c r="I194" s="15">
        <v>951</v>
      </c>
      <c r="J194" s="15">
        <v>5794</v>
      </c>
      <c r="K194" s="15">
        <v>5017</v>
      </c>
      <c r="L194" s="20">
        <v>2856</v>
      </c>
      <c r="N194"/>
      <c r="O194"/>
      <c r="P194"/>
    </row>
    <row r="195" spans="1:16" x14ac:dyDescent="0.25">
      <c r="A195" s="19" t="s">
        <v>9</v>
      </c>
      <c r="B195" s="15">
        <v>2014</v>
      </c>
      <c r="C195" s="15" t="s">
        <v>37</v>
      </c>
      <c r="D195" s="15" t="s">
        <v>39</v>
      </c>
      <c r="E195" s="15" t="s">
        <v>50</v>
      </c>
      <c r="F195" s="15">
        <v>7404</v>
      </c>
      <c r="G195" s="15">
        <v>4883</v>
      </c>
      <c r="H195" s="15">
        <v>3019</v>
      </c>
      <c r="I195" s="15">
        <v>2750</v>
      </c>
      <c r="J195" s="15">
        <v>8816</v>
      </c>
      <c r="K195" s="15">
        <v>2687</v>
      </c>
      <c r="L195" s="20">
        <v>5283</v>
      </c>
      <c r="N195"/>
      <c r="O195"/>
      <c r="P195"/>
    </row>
    <row r="196" spans="1:16" x14ac:dyDescent="0.25">
      <c r="A196" s="19" t="s">
        <v>2</v>
      </c>
      <c r="B196" s="15">
        <v>2015</v>
      </c>
      <c r="C196" s="15" t="s">
        <v>43</v>
      </c>
      <c r="D196" s="15" t="s">
        <v>41</v>
      </c>
      <c r="E196" s="15" t="s">
        <v>50</v>
      </c>
      <c r="F196" s="15">
        <v>7858</v>
      </c>
      <c r="G196" s="15">
        <v>2871</v>
      </c>
      <c r="H196" s="15">
        <v>9867</v>
      </c>
      <c r="I196" s="15">
        <v>5230</v>
      </c>
      <c r="J196" s="15">
        <v>9134</v>
      </c>
      <c r="K196" s="15">
        <v>4518</v>
      </c>
      <c r="L196" s="20">
        <v>3567</v>
      </c>
      <c r="N196"/>
      <c r="O196"/>
      <c r="P196"/>
    </row>
    <row r="197" spans="1:16" x14ac:dyDescent="0.25">
      <c r="A197" s="19" t="s">
        <v>8</v>
      </c>
      <c r="B197" s="15">
        <v>2017</v>
      </c>
      <c r="C197" s="15" t="s">
        <v>43</v>
      </c>
      <c r="D197" s="15" t="s">
        <v>41</v>
      </c>
      <c r="E197" s="15" t="s">
        <v>48</v>
      </c>
      <c r="F197" s="15">
        <v>3611</v>
      </c>
      <c r="G197" s="15">
        <v>9965</v>
      </c>
      <c r="H197" s="15">
        <v>121</v>
      </c>
      <c r="I197" s="15">
        <v>6787</v>
      </c>
      <c r="J197" s="15">
        <v>7787</v>
      </c>
      <c r="K197" s="15">
        <v>7945</v>
      </c>
      <c r="L197" s="20">
        <v>8935</v>
      </c>
      <c r="N197"/>
      <c r="O197"/>
      <c r="P197"/>
    </row>
    <row r="198" spans="1:16" x14ac:dyDescent="0.25">
      <c r="A198" s="19" t="s">
        <v>11</v>
      </c>
      <c r="B198" s="15">
        <v>2014</v>
      </c>
      <c r="C198" s="15" t="s">
        <v>42</v>
      </c>
      <c r="D198" s="15" t="s">
        <v>39</v>
      </c>
      <c r="E198" s="15" t="s">
        <v>50</v>
      </c>
      <c r="F198" s="15">
        <v>3674</v>
      </c>
      <c r="G198" s="15">
        <v>3594</v>
      </c>
      <c r="H198" s="15">
        <v>141</v>
      </c>
      <c r="I198" s="15">
        <v>4023</v>
      </c>
      <c r="J198" s="15">
        <v>6702</v>
      </c>
      <c r="K198" s="15">
        <v>7019</v>
      </c>
      <c r="L198" s="20">
        <v>8542</v>
      </c>
      <c r="N198"/>
      <c r="O198"/>
      <c r="P198"/>
    </row>
    <row r="199" spans="1:16" x14ac:dyDescent="0.25">
      <c r="A199" s="19" t="s">
        <v>13</v>
      </c>
      <c r="B199" s="15">
        <v>2018</v>
      </c>
      <c r="C199" s="15" t="s">
        <v>42</v>
      </c>
      <c r="D199" s="15" t="s">
        <v>41</v>
      </c>
      <c r="E199" s="15" t="s">
        <v>50</v>
      </c>
      <c r="F199" s="15">
        <v>8300</v>
      </c>
      <c r="G199" s="15">
        <v>3777</v>
      </c>
      <c r="H199" s="15">
        <v>9870</v>
      </c>
      <c r="I199" s="15">
        <v>650</v>
      </c>
      <c r="J199" s="15">
        <v>6674</v>
      </c>
      <c r="K199" s="15">
        <v>746</v>
      </c>
      <c r="L199" s="20">
        <v>1186</v>
      </c>
      <c r="N199"/>
      <c r="O199"/>
      <c r="P199"/>
    </row>
    <row r="200" spans="1:16" x14ac:dyDescent="0.25">
      <c r="A200" s="19" t="s">
        <v>10</v>
      </c>
      <c r="B200" s="15">
        <v>2017</v>
      </c>
      <c r="C200" s="15" t="s">
        <v>43</v>
      </c>
      <c r="D200" s="15" t="s">
        <v>41</v>
      </c>
      <c r="E200" s="15" t="s">
        <v>49</v>
      </c>
      <c r="F200" s="15">
        <v>9980</v>
      </c>
      <c r="G200" s="15">
        <v>561</v>
      </c>
      <c r="H200" s="15">
        <v>9760</v>
      </c>
      <c r="I200" s="15">
        <v>579</v>
      </c>
      <c r="J200" s="15">
        <v>4133</v>
      </c>
      <c r="K200" s="15">
        <v>7733</v>
      </c>
      <c r="L200" s="20">
        <v>5996</v>
      </c>
      <c r="N200"/>
      <c r="O200"/>
      <c r="P200"/>
    </row>
    <row r="201" spans="1:16" x14ac:dyDescent="0.25">
      <c r="A201" s="19" t="s">
        <v>13</v>
      </c>
      <c r="B201" s="15">
        <v>2018</v>
      </c>
      <c r="C201" s="15" t="s">
        <v>37</v>
      </c>
      <c r="D201" s="15" t="s">
        <v>41</v>
      </c>
      <c r="E201" s="15" t="s">
        <v>48</v>
      </c>
      <c r="F201" s="15">
        <v>9580</v>
      </c>
      <c r="G201" s="15">
        <v>2640</v>
      </c>
      <c r="H201" s="15">
        <v>7427</v>
      </c>
      <c r="I201" s="15">
        <v>9759</v>
      </c>
      <c r="J201" s="15">
        <v>6134</v>
      </c>
      <c r="K201" s="15">
        <v>228</v>
      </c>
      <c r="L201" s="20">
        <v>2445</v>
      </c>
      <c r="N201"/>
      <c r="O201"/>
      <c r="P201"/>
    </row>
    <row r="202" spans="1:16" x14ac:dyDescent="0.25">
      <c r="A202" s="19" t="s">
        <v>3</v>
      </c>
      <c r="B202" s="15">
        <v>2015</v>
      </c>
      <c r="C202" s="15" t="s">
        <v>40</v>
      </c>
      <c r="D202" s="15" t="s">
        <v>41</v>
      </c>
      <c r="E202" s="15" t="s">
        <v>50</v>
      </c>
      <c r="F202" s="15">
        <v>4297</v>
      </c>
      <c r="G202" s="15">
        <v>7208</v>
      </c>
      <c r="H202" s="15">
        <v>8989</v>
      </c>
      <c r="I202" s="15">
        <v>8151</v>
      </c>
      <c r="J202" s="15">
        <v>255</v>
      </c>
      <c r="K202" s="15">
        <v>3593</v>
      </c>
      <c r="L202" s="20">
        <v>7850</v>
      </c>
      <c r="N202"/>
      <c r="O202"/>
      <c r="P202"/>
    </row>
    <row r="203" spans="1:16" x14ac:dyDescent="0.25">
      <c r="A203" s="19" t="s">
        <v>9</v>
      </c>
      <c r="B203" s="15">
        <v>2018</v>
      </c>
      <c r="C203" s="15" t="s">
        <v>42</v>
      </c>
      <c r="D203" s="15" t="s">
        <v>14</v>
      </c>
      <c r="E203" s="15" t="s">
        <v>49</v>
      </c>
      <c r="F203" s="15">
        <v>3482</v>
      </c>
      <c r="G203" s="15">
        <v>2956</v>
      </c>
      <c r="H203" s="15">
        <v>7412</v>
      </c>
      <c r="I203" s="15">
        <v>1734</v>
      </c>
      <c r="J203" s="15">
        <v>1034</v>
      </c>
      <c r="K203" s="15">
        <v>9957</v>
      </c>
      <c r="L203" s="20">
        <v>3331</v>
      </c>
      <c r="N203"/>
      <c r="O203"/>
      <c r="P203"/>
    </row>
    <row r="204" spans="1:16" x14ac:dyDescent="0.25">
      <c r="A204" s="19" t="s">
        <v>10</v>
      </c>
      <c r="B204" s="15">
        <v>2018</v>
      </c>
      <c r="C204" s="15" t="s">
        <v>40</v>
      </c>
      <c r="D204" s="15" t="s">
        <v>39</v>
      </c>
      <c r="E204" s="15" t="s">
        <v>48</v>
      </c>
      <c r="F204" s="15">
        <v>8258</v>
      </c>
      <c r="G204" s="15">
        <v>3179</v>
      </c>
      <c r="H204" s="15">
        <v>3282</v>
      </c>
      <c r="I204" s="15">
        <v>5106</v>
      </c>
      <c r="J204" s="15">
        <v>9391</v>
      </c>
      <c r="K204" s="15">
        <v>1906</v>
      </c>
      <c r="L204" s="20">
        <v>2761</v>
      </c>
      <c r="N204"/>
      <c r="O204"/>
      <c r="P204"/>
    </row>
    <row r="205" spans="1:16" x14ac:dyDescent="0.25">
      <c r="A205" s="19" t="s">
        <v>6</v>
      </c>
      <c r="B205" s="15">
        <v>2016</v>
      </c>
      <c r="C205" s="15" t="s">
        <v>43</v>
      </c>
      <c r="D205" s="15" t="s">
        <v>41</v>
      </c>
      <c r="E205" s="15" t="s">
        <v>50</v>
      </c>
      <c r="F205" s="15">
        <v>9930</v>
      </c>
      <c r="G205" s="15">
        <v>7379</v>
      </c>
      <c r="H205" s="15">
        <v>9972</v>
      </c>
      <c r="I205" s="15">
        <v>9394</v>
      </c>
      <c r="J205" s="15">
        <v>1476</v>
      </c>
      <c r="K205" s="15">
        <v>9385</v>
      </c>
      <c r="L205" s="20">
        <v>5653</v>
      </c>
      <c r="N205"/>
      <c r="O205"/>
      <c r="P205"/>
    </row>
    <row r="206" spans="1:16" x14ac:dyDescent="0.25">
      <c r="A206" s="19" t="s">
        <v>8</v>
      </c>
      <c r="B206" s="15">
        <v>2016</v>
      </c>
      <c r="C206" s="15" t="s">
        <v>37</v>
      </c>
      <c r="D206" s="15" t="s">
        <v>41</v>
      </c>
      <c r="E206" s="15" t="s">
        <v>49</v>
      </c>
      <c r="F206" s="15">
        <v>67</v>
      </c>
      <c r="G206" s="15">
        <v>324</v>
      </c>
      <c r="H206" s="15">
        <v>420</v>
      </c>
      <c r="I206" s="15">
        <v>8977</v>
      </c>
      <c r="J206" s="15">
        <v>4253</v>
      </c>
      <c r="K206" s="15">
        <v>5369</v>
      </c>
      <c r="L206" s="20">
        <v>6830</v>
      </c>
      <c r="N206"/>
      <c r="O206"/>
      <c r="P206"/>
    </row>
    <row r="207" spans="1:16" x14ac:dyDescent="0.25">
      <c r="A207" s="19" t="s">
        <v>9</v>
      </c>
      <c r="B207" s="15">
        <v>2014</v>
      </c>
      <c r="C207" s="15" t="s">
        <v>37</v>
      </c>
      <c r="D207" s="15" t="s">
        <v>39</v>
      </c>
      <c r="E207" s="15" t="s">
        <v>48</v>
      </c>
      <c r="F207" s="15">
        <v>3336</v>
      </c>
      <c r="G207" s="15">
        <v>9601</v>
      </c>
      <c r="H207" s="15">
        <v>2849</v>
      </c>
      <c r="I207" s="15">
        <v>3019</v>
      </c>
      <c r="J207" s="15">
        <v>2335</v>
      </c>
      <c r="K207" s="15">
        <v>422</v>
      </c>
      <c r="L207" s="20">
        <v>2795</v>
      </c>
      <c r="N207"/>
      <c r="O207"/>
      <c r="P207"/>
    </row>
    <row r="208" spans="1:16" x14ac:dyDescent="0.25">
      <c r="A208" s="19" t="s">
        <v>11</v>
      </c>
      <c r="B208" s="15">
        <v>2018</v>
      </c>
      <c r="C208" s="15" t="s">
        <v>43</v>
      </c>
      <c r="D208" s="15" t="s">
        <v>14</v>
      </c>
      <c r="E208" s="15" t="s">
        <v>48</v>
      </c>
      <c r="F208" s="15">
        <v>3192</v>
      </c>
      <c r="G208" s="15">
        <v>1104</v>
      </c>
      <c r="H208" s="15">
        <v>9070</v>
      </c>
      <c r="I208" s="15">
        <v>249</v>
      </c>
      <c r="J208" s="15">
        <v>7633</v>
      </c>
      <c r="K208" s="15">
        <v>7821</v>
      </c>
      <c r="L208" s="20">
        <v>401</v>
      </c>
      <c r="N208"/>
      <c r="O208"/>
      <c r="P208"/>
    </row>
    <row r="209" spans="1:16" x14ac:dyDescent="0.25">
      <c r="A209" s="19" t="s">
        <v>5</v>
      </c>
      <c r="B209" s="15">
        <v>2018</v>
      </c>
      <c r="C209" s="15" t="s">
        <v>40</v>
      </c>
      <c r="D209" s="15" t="s">
        <v>39</v>
      </c>
      <c r="E209" s="15" t="s">
        <v>49</v>
      </c>
      <c r="F209" s="15">
        <v>3797</v>
      </c>
      <c r="G209" s="15">
        <v>4902</v>
      </c>
      <c r="H209" s="15">
        <v>9946</v>
      </c>
      <c r="I209" s="15">
        <v>4173</v>
      </c>
      <c r="J209" s="15">
        <v>8846</v>
      </c>
      <c r="K209" s="15">
        <v>2063</v>
      </c>
      <c r="L209" s="20">
        <v>7857</v>
      </c>
      <c r="N209"/>
      <c r="O209"/>
      <c r="P209"/>
    </row>
    <row r="210" spans="1:16" x14ac:dyDescent="0.25">
      <c r="A210" s="19" t="s">
        <v>11</v>
      </c>
      <c r="B210" s="15">
        <v>2015</v>
      </c>
      <c r="C210" s="15" t="s">
        <v>37</v>
      </c>
      <c r="D210" s="15" t="s">
        <v>41</v>
      </c>
      <c r="E210" s="15" t="s">
        <v>49</v>
      </c>
      <c r="F210" s="15">
        <v>2187</v>
      </c>
      <c r="G210" s="15">
        <v>687</v>
      </c>
      <c r="H210" s="15">
        <v>8072</v>
      </c>
      <c r="I210" s="15">
        <v>7176</v>
      </c>
      <c r="J210" s="15">
        <v>9117</v>
      </c>
      <c r="K210" s="15">
        <v>3537</v>
      </c>
      <c r="L210" s="20">
        <v>7919</v>
      </c>
      <c r="N210"/>
      <c r="O210"/>
      <c r="P210"/>
    </row>
    <row r="211" spans="1:16" x14ac:dyDescent="0.25">
      <c r="A211" s="19" t="s">
        <v>3</v>
      </c>
      <c r="B211" s="15">
        <v>2014</v>
      </c>
      <c r="C211" s="15" t="s">
        <v>43</v>
      </c>
      <c r="D211" s="15" t="s">
        <v>41</v>
      </c>
      <c r="E211" s="15" t="s">
        <v>49</v>
      </c>
      <c r="F211" s="15">
        <v>56</v>
      </c>
      <c r="G211" s="15">
        <v>4518</v>
      </c>
      <c r="H211" s="15">
        <v>9158</v>
      </c>
      <c r="I211" s="15">
        <v>9255</v>
      </c>
      <c r="J211" s="15">
        <v>1605</v>
      </c>
      <c r="K211" s="15">
        <v>975</v>
      </c>
      <c r="L211" s="20">
        <v>940</v>
      </c>
      <c r="N211"/>
      <c r="O211"/>
      <c r="P211"/>
    </row>
    <row r="212" spans="1:16" x14ac:dyDescent="0.25">
      <c r="A212" s="19" t="s">
        <v>3</v>
      </c>
      <c r="B212" s="15">
        <v>2014</v>
      </c>
      <c r="C212" s="15" t="s">
        <v>40</v>
      </c>
      <c r="D212" s="15" t="s">
        <v>14</v>
      </c>
      <c r="E212" s="15" t="s">
        <v>50</v>
      </c>
      <c r="F212" s="15">
        <v>9765</v>
      </c>
      <c r="G212" s="15">
        <v>8255</v>
      </c>
      <c r="H212" s="15">
        <v>8392</v>
      </c>
      <c r="I212" s="15">
        <v>5445</v>
      </c>
      <c r="J212" s="15">
        <v>9850</v>
      </c>
      <c r="K212" s="15">
        <v>7721</v>
      </c>
      <c r="L212" s="20">
        <v>3041</v>
      </c>
      <c r="N212"/>
      <c r="O212"/>
      <c r="P212"/>
    </row>
    <row r="213" spans="1:16" x14ac:dyDescent="0.25">
      <c r="A213" s="19" t="s">
        <v>11</v>
      </c>
      <c r="B213" s="15">
        <v>2014</v>
      </c>
      <c r="C213" s="15" t="s">
        <v>37</v>
      </c>
      <c r="D213" s="15" t="s">
        <v>14</v>
      </c>
      <c r="E213" s="15" t="s">
        <v>50</v>
      </c>
      <c r="F213" s="15">
        <v>283</v>
      </c>
      <c r="G213" s="15">
        <v>4241</v>
      </c>
      <c r="H213" s="15">
        <v>2171</v>
      </c>
      <c r="I213" s="15">
        <v>8427</v>
      </c>
      <c r="J213" s="15">
        <v>7727</v>
      </c>
      <c r="K213" s="15">
        <v>8754</v>
      </c>
      <c r="L213" s="20">
        <v>8937</v>
      </c>
      <c r="N213"/>
      <c r="O213"/>
      <c r="P213"/>
    </row>
    <row r="214" spans="1:16" x14ac:dyDescent="0.25">
      <c r="A214" s="19" t="s">
        <v>13</v>
      </c>
      <c r="B214" s="15">
        <v>2018</v>
      </c>
      <c r="C214" s="15" t="s">
        <v>43</v>
      </c>
      <c r="D214" s="15" t="s">
        <v>41</v>
      </c>
      <c r="E214" s="15" t="s">
        <v>49</v>
      </c>
      <c r="F214" s="15">
        <v>8463</v>
      </c>
      <c r="G214" s="15">
        <v>2748</v>
      </c>
      <c r="H214" s="15">
        <v>4685</v>
      </c>
      <c r="I214" s="15">
        <v>2072</v>
      </c>
      <c r="J214" s="15">
        <v>3467</v>
      </c>
      <c r="K214" s="15">
        <v>3247</v>
      </c>
      <c r="L214" s="20">
        <v>7793</v>
      </c>
      <c r="N214"/>
      <c r="O214"/>
      <c r="P214"/>
    </row>
    <row r="215" spans="1:16" x14ac:dyDescent="0.25">
      <c r="A215" s="19" t="s">
        <v>3</v>
      </c>
      <c r="B215" s="15">
        <v>2017</v>
      </c>
      <c r="C215" s="15" t="s">
        <v>37</v>
      </c>
      <c r="D215" s="15" t="s">
        <v>39</v>
      </c>
      <c r="E215" s="15" t="s">
        <v>48</v>
      </c>
      <c r="F215" s="15">
        <v>1709</v>
      </c>
      <c r="G215" s="15">
        <v>9476</v>
      </c>
      <c r="H215" s="15">
        <v>5340</v>
      </c>
      <c r="I215" s="15">
        <v>6773</v>
      </c>
      <c r="J215" s="15">
        <v>9523</v>
      </c>
      <c r="K215" s="15">
        <v>4577</v>
      </c>
      <c r="L215" s="20">
        <v>8788</v>
      </c>
      <c r="N215"/>
      <c r="O215"/>
      <c r="P215"/>
    </row>
    <row r="216" spans="1:16" x14ac:dyDescent="0.25">
      <c r="A216" s="19" t="s">
        <v>12</v>
      </c>
      <c r="B216" s="15">
        <v>2014</v>
      </c>
      <c r="C216" s="15" t="s">
        <v>37</v>
      </c>
      <c r="D216" s="15" t="s">
        <v>41</v>
      </c>
      <c r="E216" s="15" t="s">
        <v>48</v>
      </c>
      <c r="F216" s="15">
        <v>4033</v>
      </c>
      <c r="G216" s="15">
        <v>4859</v>
      </c>
      <c r="H216" s="15">
        <v>885</v>
      </c>
      <c r="I216" s="15">
        <v>6664</v>
      </c>
      <c r="J216" s="15">
        <v>5894</v>
      </c>
      <c r="K216" s="15">
        <v>2796</v>
      </c>
      <c r="L216" s="20">
        <v>208</v>
      </c>
      <c r="N216"/>
      <c r="O216"/>
      <c r="P216"/>
    </row>
    <row r="217" spans="1:16" x14ac:dyDescent="0.25">
      <c r="A217" s="19" t="s">
        <v>9</v>
      </c>
      <c r="B217" s="15">
        <v>2014</v>
      </c>
      <c r="C217" s="15" t="s">
        <v>43</v>
      </c>
      <c r="D217" s="15" t="s">
        <v>41</v>
      </c>
      <c r="E217" s="15" t="s">
        <v>48</v>
      </c>
      <c r="F217" s="15">
        <v>1521</v>
      </c>
      <c r="G217" s="15">
        <v>105</v>
      </c>
      <c r="H217" s="15">
        <v>3278</v>
      </c>
      <c r="I217" s="15">
        <v>7401</v>
      </c>
      <c r="J217" s="15">
        <v>562</v>
      </c>
      <c r="K217" s="15">
        <v>6618</v>
      </c>
      <c r="L217" s="20">
        <v>3545</v>
      </c>
      <c r="N217"/>
      <c r="O217"/>
      <c r="P217"/>
    </row>
    <row r="218" spans="1:16" x14ac:dyDescent="0.25">
      <c r="A218" s="19" t="s">
        <v>5</v>
      </c>
      <c r="B218" s="15">
        <v>2016</v>
      </c>
      <c r="C218" s="15" t="s">
        <v>43</v>
      </c>
      <c r="D218" s="15" t="s">
        <v>41</v>
      </c>
      <c r="E218" s="15" t="s">
        <v>48</v>
      </c>
      <c r="F218" s="15">
        <v>3238</v>
      </c>
      <c r="G218" s="15">
        <v>7070</v>
      </c>
      <c r="H218" s="15">
        <v>8770</v>
      </c>
      <c r="I218" s="15">
        <v>3786</v>
      </c>
      <c r="J218" s="15">
        <v>7434</v>
      </c>
      <c r="K218" s="15">
        <v>7925</v>
      </c>
      <c r="L218" s="20">
        <v>7144</v>
      </c>
      <c r="N218"/>
      <c r="O218"/>
      <c r="P218"/>
    </row>
    <row r="219" spans="1:16" x14ac:dyDescent="0.25">
      <c r="A219" s="19" t="s">
        <v>10</v>
      </c>
      <c r="B219" s="15">
        <v>2017</v>
      </c>
      <c r="C219" s="15" t="s">
        <v>43</v>
      </c>
      <c r="D219" s="15" t="s">
        <v>14</v>
      </c>
      <c r="E219" s="15" t="s">
        <v>49</v>
      </c>
      <c r="F219" s="15">
        <v>364</v>
      </c>
      <c r="G219" s="15">
        <v>3993</v>
      </c>
      <c r="H219" s="15">
        <v>5935</v>
      </c>
      <c r="I219" s="15">
        <v>6030</v>
      </c>
      <c r="J219" s="15">
        <v>4294</v>
      </c>
      <c r="K219" s="15">
        <v>1121</v>
      </c>
      <c r="L219" s="20">
        <v>1847</v>
      </c>
      <c r="N219"/>
      <c r="O219"/>
      <c r="P219"/>
    </row>
    <row r="220" spans="1:16" x14ac:dyDescent="0.25">
      <c r="A220" s="19" t="s">
        <v>12</v>
      </c>
      <c r="B220" s="15">
        <v>2018</v>
      </c>
      <c r="C220" s="15" t="s">
        <v>42</v>
      </c>
      <c r="D220" s="15" t="s">
        <v>41</v>
      </c>
      <c r="E220" s="15" t="s">
        <v>48</v>
      </c>
      <c r="F220" s="15">
        <v>960</v>
      </c>
      <c r="G220" s="15">
        <v>1965</v>
      </c>
      <c r="H220" s="15">
        <v>4964</v>
      </c>
      <c r="I220" s="15">
        <v>1950</v>
      </c>
      <c r="J220" s="15">
        <v>3904</v>
      </c>
      <c r="K220" s="15">
        <v>3017</v>
      </c>
      <c r="L220" s="20">
        <v>3559</v>
      </c>
      <c r="N220"/>
      <c r="O220"/>
      <c r="P220"/>
    </row>
    <row r="221" spans="1:16" x14ac:dyDescent="0.25">
      <c r="A221" s="19" t="s">
        <v>10</v>
      </c>
      <c r="B221" s="15">
        <v>2017</v>
      </c>
      <c r="C221" s="15" t="s">
        <v>37</v>
      </c>
      <c r="D221" s="15" t="s">
        <v>14</v>
      </c>
      <c r="E221" s="15" t="s">
        <v>49</v>
      </c>
      <c r="F221" s="15">
        <v>5767</v>
      </c>
      <c r="G221" s="15">
        <v>6446</v>
      </c>
      <c r="H221" s="15">
        <v>3598</v>
      </c>
      <c r="I221" s="15">
        <v>6630</v>
      </c>
      <c r="J221" s="15">
        <v>4079</v>
      </c>
      <c r="K221" s="15">
        <v>5359</v>
      </c>
      <c r="L221" s="20">
        <v>3098</v>
      </c>
      <c r="N221"/>
      <c r="O221"/>
      <c r="P221"/>
    </row>
    <row r="222" spans="1:16" x14ac:dyDescent="0.25">
      <c r="A222" s="19" t="s">
        <v>9</v>
      </c>
      <c r="B222" s="15">
        <v>2016</v>
      </c>
      <c r="C222" s="15" t="s">
        <v>40</v>
      </c>
      <c r="D222" s="15" t="s">
        <v>41</v>
      </c>
      <c r="E222" s="15" t="s">
        <v>50</v>
      </c>
      <c r="F222" s="15">
        <v>6778</v>
      </c>
      <c r="G222" s="15">
        <v>3462</v>
      </c>
      <c r="H222" s="15">
        <v>7675</v>
      </c>
      <c r="I222" s="15">
        <v>1697</v>
      </c>
      <c r="J222" s="15">
        <v>3707</v>
      </c>
      <c r="K222" s="15">
        <v>4462</v>
      </c>
      <c r="L222" s="20">
        <v>5530</v>
      </c>
      <c r="N222"/>
      <c r="O222"/>
      <c r="P222"/>
    </row>
    <row r="223" spans="1:16" x14ac:dyDescent="0.25">
      <c r="A223" s="19" t="s">
        <v>5</v>
      </c>
      <c r="B223" s="15">
        <v>2017</v>
      </c>
      <c r="C223" s="15" t="s">
        <v>37</v>
      </c>
      <c r="D223" s="15" t="s">
        <v>14</v>
      </c>
      <c r="E223" s="15" t="s">
        <v>50</v>
      </c>
      <c r="F223" s="15">
        <v>9771</v>
      </c>
      <c r="G223" s="15">
        <v>1973</v>
      </c>
      <c r="H223" s="15">
        <v>8548</v>
      </c>
      <c r="I223" s="15">
        <v>2424</v>
      </c>
      <c r="J223" s="15">
        <v>2571</v>
      </c>
      <c r="K223" s="15">
        <v>8343</v>
      </c>
      <c r="L223" s="20">
        <v>9176</v>
      </c>
      <c r="N223"/>
      <c r="O223"/>
      <c r="P223"/>
    </row>
    <row r="224" spans="1:16" x14ac:dyDescent="0.25">
      <c r="A224" s="19" t="s">
        <v>12</v>
      </c>
      <c r="B224" s="15">
        <v>2015</v>
      </c>
      <c r="C224" s="15" t="s">
        <v>37</v>
      </c>
      <c r="D224" s="15" t="s">
        <v>41</v>
      </c>
      <c r="E224" s="15" t="s">
        <v>50</v>
      </c>
      <c r="F224" s="15">
        <v>2167</v>
      </c>
      <c r="G224" s="15">
        <v>6112</v>
      </c>
      <c r="H224" s="15">
        <v>3414</v>
      </c>
      <c r="I224" s="15">
        <v>9523</v>
      </c>
      <c r="J224" s="15">
        <v>6604</v>
      </c>
      <c r="K224" s="15">
        <v>2587</v>
      </c>
      <c r="L224" s="20">
        <v>7852</v>
      </c>
      <c r="N224"/>
      <c r="O224"/>
      <c r="P224"/>
    </row>
    <row r="225" spans="1:16" x14ac:dyDescent="0.25">
      <c r="A225" s="19" t="s">
        <v>13</v>
      </c>
      <c r="B225" s="15">
        <v>2018</v>
      </c>
      <c r="C225" s="15" t="s">
        <v>43</v>
      </c>
      <c r="D225" s="15" t="s">
        <v>39</v>
      </c>
      <c r="E225" s="15" t="s">
        <v>50</v>
      </c>
      <c r="F225" s="15">
        <v>9949</v>
      </c>
      <c r="G225" s="15">
        <v>5522</v>
      </c>
      <c r="H225" s="15">
        <v>6516</v>
      </c>
      <c r="I225" s="15">
        <v>3533</v>
      </c>
      <c r="J225" s="15">
        <v>9241</v>
      </c>
      <c r="K225" s="15">
        <v>4291</v>
      </c>
      <c r="L225" s="20">
        <v>4566</v>
      </c>
      <c r="N225"/>
      <c r="O225"/>
      <c r="P225"/>
    </row>
    <row r="226" spans="1:16" x14ac:dyDescent="0.25">
      <c r="A226" s="19" t="s">
        <v>5</v>
      </c>
      <c r="B226" s="15">
        <v>2017</v>
      </c>
      <c r="C226" s="15" t="s">
        <v>42</v>
      </c>
      <c r="D226" s="15" t="s">
        <v>14</v>
      </c>
      <c r="E226" s="15" t="s">
        <v>49</v>
      </c>
      <c r="F226" s="15">
        <v>2306</v>
      </c>
      <c r="G226" s="15">
        <v>2451</v>
      </c>
      <c r="H226" s="15">
        <v>6866</v>
      </c>
      <c r="I226" s="15">
        <v>7402</v>
      </c>
      <c r="J226" s="15">
        <v>8767</v>
      </c>
      <c r="K226" s="15">
        <v>6123</v>
      </c>
      <c r="L226" s="20">
        <v>8961</v>
      </c>
      <c r="N226"/>
      <c r="O226"/>
      <c r="P226"/>
    </row>
    <row r="227" spans="1:16" x14ac:dyDescent="0.25">
      <c r="A227" s="19" t="s">
        <v>2</v>
      </c>
      <c r="B227" s="15">
        <v>2018</v>
      </c>
      <c r="C227" s="15" t="s">
        <v>40</v>
      </c>
      <c r="D227" s="15" t="s">
        <v>14</v>
      </c>
      <c r="E227" s="15" t="s">
        <v>50</v>
      </c>
      <c r="F227" s="15">
        <v>3395</v>
      </c>
      <c r="G227" s="15">
        <v>2409</v>
      </c>
      <c r="H227" s="15">
        <v>3217</v>
      </c>
      <c r="I227" s="15">
        <v>3879</v>
      </c>
      <c r="J227" s="15">
        <v>4090</v>
      </c>
      <c r="K227" s="15">
        <v>3705</v>
      </c>
      <c r="L227" s="20">
        <v>2184</v>
      </c>
      <c r="N227"/>
      <c r="O227"/>
      <c r="P227"/>
    </row>
    <row r="228" spans="1:16" x14ac:dyDescent="0.25">
      <c r="A228" s="19" t="s">
        <v>6</v>
      </c>
      <c r="B228" s="15">
        <v>2018</v>
      </c>
      <c r="C228" s="15" t="s">
        <v>42</v>
      </c>
      <c r="D228" s="15" t="s">
        <v>39</v>
      </c>
      <c r="E228" s="15" t="s">
        <v>49</v>
      </c>
      <c r="F228" s="15">
        <v>7579</v>
      </c>
      <c r="G228" s="15">
        <v>2781</v>
      </c>
      <c r="H228" s="15">
        <v>2825</v>
      </c>
      <c r="I228" s="15">
        <v>8382</v>
      </c>
      <c r="J228" s="15">
        <v>9870</v>
      </c>
      <c r="K228" s="15">
        <v>3597</v>
      </c>
      <c r="L228" s="20">
        <v>3290</v>
      </c>
      <c r="N228"/>
      <c r="O228"/>
    </row>
    <row r="229" spans="1:16" x14ac:dyDescent="0.25">
      <c r="A229" s="19" t="s">
        <v>13</v>
      </c>
      <c r="B229" s="15">
        <v>2015</v>
      </c>
      <c r="C229" s="15" t="s">
        <v>37</v>
      </c>
      <c r="D229" s="15" t="s">
        <v>14</v>
      </c>
      <c r="E229" s="15" t="s">
        <v>48</v>
      </c>
      <c r="F229" s="15">
        <v>921</v>
      </c>
      <c r="G229" s="15">
        <v>7268</v>
      </c>
      <c r="H229" s="15">
        <v>9832</v>
      </c>
      <c r="I229" s="15">
        <v>6487</v>
      </c>
      <c r="J229" s="15">
        <v>9655</v>
      </c>
      <c r="K229" s="15">
        <v>1852</v>
      </c>
      <c r="L229" s="20">
        <v>4584</v>
      </c>
      <c r="N229"/>
      <c r="O229"/>
    </row>
    <row r="230" spans="1:16" x14ac:dyDescent="0.25">
      <c r="A230" s="19" t="s">
        <v>3</v>
      </c>
      <c r="B230" s="15">
        <v>2016</v>
      </c>
      <c r="C230" s="15" t="s">
        <v>40</v>
      </c>
      <c r="D230" s="15" t="s">
        <v>14</v>
      </c>
      <c r="E230" s="15" t="s">
        <v>50</v>
      </c>
      <c r="F230" s="15">
        <v>5388</v>
      </c>
      <c r="G230" s="15">
        <v>1615</v>
      </c>
      <c r="H230" s="15">
        <v>7931</v>
      </c>
      <c r="I230" s="15">
        <v>5218</v>
      </c>
      <c r="J230" s="15">
        <v>279</v>
      </c>
      <c r="K230" s="15">
        <v>9272</v>
      </c>
      <c r="L230" s="20">
        <v>3001</v>
      </c>
      <c r="N230"/>
      <c r="O230"/>
    </row>
    <row r="231" spans="1:16" x14ac:dyDescent="0.25">
      <c r="A231" s="19" t="s">
        <v>5</v>
      </c>
      <c r="B231" s="15">
        <v>2018</v>
      </c>
      <c r="C231" s="15" t="s">
        <v>43</v>
      </c>
      <c r="D231" s="15" t="s">
        <v>39</v>
      </c>
      <c r="E231" s="15" t="s">
        <v>48</v>
      </c>
      <c r="F231" s="15">
        <v>2181</v>
      </c>
      <c r="G231" s="15">
        <v>4302</v>
      </c>
      <c r="H231" s="15">
        <v>6443</v>
      </c>
      <c r="I231" s="15">
        <v>6336</v>
      </c>
      <c r="J231" s="15">
        <v>9110</v>
      </c>
      <c r="K231" s="15">
        <v>2564</v>
      </c>
      <c r="L231" s="20">
        <v>2365</v>
      </c>
      <c r="N231"/>
      <c r="O231"/>
    </row>
    <row r="232" spans="1:16" x14ac:dyDescent="0.25">
      <c r="A232" s="19" t="s">
        <v>5</v>
      </c>
      <c r="B232" s="15">
        <v>2018</v>
      </c>
      <c r="C232" s="15" t="s">
        <v>37</v>
      </c>
      <c r="D232" s="15" t="s">
        <v>14</v>
      </c>
      <c r="E232" s="15" t="s">
        <v>49</v>
      </c>
      <c r="F232" s="15">
        <v>5688</v>
      </c>
      <c r="G232" s="15">
        <v>885</v>
      </c>
      <c r="H232" s="15">
        <v>1125</v>
      </c>
      <c r="I232" s="15">
        <v>5540</v>
      </c>
      <c r="J232" s="15">
        <v>7100</v>
      </c>
      <c r="K232" s="15">
        <v>6980</v>
      </c>
      <c r="L232" s="20">
        <v>8599</v>
      </c>
      <c r="N232"/>
      <c r="O232"/>
    </row>
    <row r="233" spans="1:16" x14ac:dyDescent="0.25">
      <c r="A233" s="19" t="s">
        <v>6</v>
      </c>
      <c r="B233" s="15">
        <v>2016</v>
      </c>
      <c r="C233" s="15" t="s">
        <v>43</v>
      </c>
      <c r="D233" s="15" t="s">
        <v>41</v>
      </c>
      <c r="E233" s="15" t="s">
        <v>49</v>
      </c>
      <c r="F233" s="15">
        <v>9181</v>
      </c>
      <c r="G233" s="15">
        <v>8859</v>
      </c>
      <c r="H233" s="15">
        <v>3378</v>
      </c>
      <c r="I233" s="15">
        <v>2028</v>
      </c>
      <c r="J233" s="15">
        <v>1407</v>
      </c>
      <c r="K233" s="15">
        <v>8694</v>
      </c>
      <c r="L233" s="20">
        <v>2334</v>
      </c>
      <c r="N233"/>
      <c r="O233"/>
    </row>
    <row r="234" spans="1:16" x14ac:dyDescent="0.25">
      <c r="A234" s="19" t="s">
        <v>12</v>
      </c>
      <c r="B234" s="15">
        <v>2016</v>
      </c>
      <c r="C234" s="15" t="s">
        <v>40</v>
      </c>
      <c r="D234" s="15" t="s">
        <v>14</v>
      </c>
      <c r="E234" s="15" t="s">
        <v>48</v>
      </c>
      <c r="F234" s="15">
        <v>7503</v>
      </c>
      <c r="G234" s="15">
        <v>4598</v>
      </c>
      <c r="H234" s="15">
        <v>9542</v>
      </c>
      <c r="I234" s="15">
        <v>1953</v>
      </c>
      <c r="J234" s="15">
        <v>5075</v>
      </c>
      <c r="K234" s="15">
        <v>7585</v>
      </c>
      <c r="L234" s="20">
        <v>8116</v>
      </c>
      <c r="N234"/>
      <c r="O234"/>
    </row>
    <row r="235" spans="1:16" x14ac:dyDescent="0.25">
      <c r="A235" s="19" t="s">
        <v>8</v>
      </c>
      <c r="B235" s="15">
        <v>2017</v>
      </c>
      <c r="C235" s="15" t="s">
        <v>42</v>
      </c>
      <c r="D235" s="15" t="s">
        <v>41</v>
      </c>
      <c r="E235" s="15" t="s">
        <v>49</v>
      </c>
      <c r="F235" s="15">
        <v>5538</v>
      </c>
      <c r="G235" s="15">
        <v>4346</v>
      </c>
      <c r="H235" s="15">
        <v>2385</v>
      </c>
      <c r="I235" s="15">
        <v>8196</v>
      </c>
      <c r="J235" s="15">
        <v>1351</v>
      </c>
      <c r="K235" s="15">
        <v>6889</v>
      </c>
      <c r="L235" s="20">
        <v>2251</v>
      </c>
      <c r="N235"/>
      <c r="O235"/>
    </row>
    <row r="236" spans="1:16" x14ac:dyDescent="0.25">
      <c r="A236" s="19" t="s">
        <v>10</v>
      </c>
      <c r="B236" s="15">
        <v>2017</v>
      </c>
      <c r="C236" s="15" t="s">
        <v>43</v>
      </c>
      <c r="D236" s="15" t="s">
        <v>14</v>
      </c>
      <c r="E236" s="15" t="s">
        <v>50</v>
      </c>
      <c r="F236" s="15">
        <v>6362</v>
      </c>
      <c r="G236" s="15">
        <v>3038</v>
      </c>
      <c r="H236" s="15">
        <v>7237</v>
      </c>
      <c r="I236" s="15">
        <v>3097</v>
      </c>
      <c r="J236" s="15">
        <v>4485</v>
      </c>
      <c r="K236" s="15">
        <v>5826</v>
      </c>
      <c r="L236" s="20">
        <v>2196</v>
      </c>
      <c r="N236"/>
      <c r="O236"/>
    </row>
    <row r="237" spans="1:16" x14ac:dyDescent="0.25">
      <c r="A237" s="19" t="s">
        <v>10</v>
      </c>
      <c r="B237" s="15">
        <v>2017</v>
      </c>
      <c r="C237" s="15" t="s">
        <v>37</v>
      </c>
      <c r="D237" s="15" t="s">
        <v>14</v>
      </c>
      <c r="E237" s="15" t="s">
        <v>50</v>
      </c>
      <c r="F237" s="15">
        <v>1632</v>
      </c>
      <c r="G237" s="15">
        <v>8046</v>
      </c>
      <c r="H237" s="15">
        <v>7050</v>
      </c>
      <c r="I237" s="15">
        <v>8491</v>
      </c>
      <c r="J237" s="15">
        <v>6454</v>
      </c>
      <c r="K237" s="15">
        <v>8791</v>
      </c>
      <c r="L237" s="20">
        <v>7342</v>
      </c>
      <c r="N237"/>
      <c r="O237"/>
    </row>
    <row r="238" spans="1:16" x14ac:dyDescent="0.25">
      <c r="A238" s="19" t="s">
        <v>6</v>
      </c>
      <c r="B238" s="15">
        <v>2018</v>
      </c>
      <c r="C238" s="15" t="s">
        <v>40</v>
      </c>
      <c r="D238" s="15" t="s">
        <v>41</v>
      </c>
      <c r="E238" s="15" t="s">
        <v>49</v>
      </c>
      <c r="F238" s="15">
        <v>3351</v>
      </c>
      <c r="G238" s="15">
        <v>7648</v>
      </c>
      <c r="H238" s="15">
        <v>8973</v>
      </c>
      <c r="I238" s="15">
        <v>4120</v>
      </c>
      <c r="J238" s="15">
        <v>9192</v>
      </c>
      <c r="K238" s="15">
        <v>9705</v>
      </c>
      <c r="L238" s="20">
        <v>3750</v>
      </c>
      <c r="N238"/>
      <c r="O238"/>
    </row>
    <row r="239" spans="1:16" x14ac:dyDescent="0.25">
      <c r="A239" s="19" t="s">
        <v>2</v>
      </c>
      <c r="B239" s="15">
        <v>2016</v>
      </c>
      <c r="C239" s="15" t="s">
        <v>38</v>
      </c>
      <c r="D239" s="15" t="s">
        <v>14</v>
      </c>
      <c r="E239" s="15" t="s">
        <v>50</v>
      </c>
      <c r="F239" s="15">
        <v>4796</v>
      </c>
      <c r="G239" s="15">
        <v>3638</v>
      </c>
      <c r="H239" s="15">
        <v>693</v>
      </c>
      <c r="I239" s="15">
        <v>9815</v>
      </c>
      <c r="J239" s="15">
        <v>2857</v>
      </c>
      <c r="K239" s="15">
        <v>8549</v>
      </c>
      <c r="L239" s="20">
        <v>547</v>
      </c>
      <c r="N239"/>
      <c r="O239"/>
    </row>
    <row r="240" spans="1:16" x14ac:dyDescent="0.25">
      <c r="A240" s="19" t="s">
        <v>9</v>
      </c>
      <c r="B240" s="15">
        <v>2018</v>
      </c>
      <c r="C240" s="15" t="s">
        <v>42</v>
      </c>
      <c r="D240" s="15" t="s">
        <v>41</v>
      </c>
      <c r="E240" s="15" t="s">
        <v>48</v>
      </c>
      <c r="F240" s="15">
        <v>831</v>
      </c>
      <c r="G240" s="15">
        <v>6721</v>
      </c>
      <c r="H240" s="15">
        <v>3087</v>
      </c>
      <c r="I240" s="15">
        <v>4317</v>
      </c>
      <c r="J240" s="15">
        <v>1847</v>
      </c>
      <c r="K240" s="15">
        <v>7874</v>
      </c>
      <c r="L240" s="20">
        <v>9479</v>
      </c>
      <c r="N240"/>
      <c r="O240"/>
    </row>
    <row r="241" spans="1:15" x14ac:dyDescent="0.25">
      <c r="A241" s="21" t="s">
        <v>3</v>
      </c>
      <c r="B241" s="22">
        <v>2015</v>
      </c>
      <c r="C241" s="22" t="s">
        <v>40</v>
      </c>
      <c r="D241" s="22" t="s">
        <v>39</v>
      </c>
      <c r="E241" s="22" t="s">
        <v>49</v>
      </c>
      <c r="F241" s="22">
        <v>4530</v>
      </c>
      <c r="G241" s="22">
        <v>9231</v>
      </c>
      <c r="H241" s="22">
        <v>4207</v>
      </c>
      <c r="I241" s="22">
        <v>3907</v>
      </c>
      <c r="J241" s="22">
        <v>7684</v>
      </c>
      <c r="K241" s="22">
        <v>1355</v>
      </c>
      <c r="L241" s="23">
        <v>1948</v>
      </c>
      <c r="N241"/>
      <c r="O241"/>
    </row>
    <row r="242" spans="1:15" x14ac:dyDescent="0.25">
      <c r="N242"/>
      <c r="O242"/>
    </row>
    <row r="243" spans="1:15" x14ac:dyDescent="0.25">
      <c r="N243"/>
      <c r="O243"/>
    </row>
    <row r="244" spans="1:15" x14ac:dyDescent="0.25">
      <c r="N244"/>
      <c r="O244"/>
    </row>
  </sheetData>
  <autoFilter ref="A41:L241" xr:uid="{00000000-0009-0000-0000-000002000000}"/>
  <sortState xmlns:xlrd2="http://schemas.microsoft.com/office/spreadsheetml/2017/richdata2" ref="A23:B37">
    <sortCondition ref="A23:A37"/>
    <sortCondition ref="B23:B37"/>
  </sortState>
  <mergeCells count="1">
    <mergeCell ref="B2:P8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E167"/>
  <sheetViews>
    <sheetView zoomScaleNormal="100" workbookViewId="0"/>
  </sheetViews>
  <sheetFormatPr defaultRowHeight="15" x14ac:dyDescent="0.25"/>
  <cols>
    <col min="1" max="1" width="14.7109375" customWidth="1"/>
    <col min="2" max="31" width="10.85546875" customWidth="1"/>
  </cols>
  <sheetData>
    <row r="1" spans="1:31" x14ac:dyDescent="0.25">
      <c r="B1" s="188" t="s">
        <v>14</v>
      </c>
      <c r="C1" s="189"/>
      <c r="D1" s="189"/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3" t="s">
        <v>15</v>
      </c>
      <c r="Q1" s="188" t="s">
        <v>16</v>
      </c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3" t="s">
        <v>15</v>
      </c>
    </row>
    <row r="2" spans="1:31" x14ac:dyDescent="0.25">
      <c r="B2" s="4">
        <v>43466</v>
      </c>
      <c r="C2" s="5">
        <v>43497</v>
      </c>
      <c r="D2" s="5">
        <v>43525</v>
      </c>
      <c r="E2" s="5">
        <v>43556</v>
      </c>
      <c r="F2" s="5">
        <v>43586</v>
      </c>
      <c r="G2" s="5">
        <v>43617</v>
      </c>
      <c r="H2" s="5">
        <v>43647</v>
      </c>
      <c r="I2" s="5">
        <v>43678</v>
      </c>
      <c r="J2" s="5">
        <v>43709</v>
      </c>
      <c r="K2" s="5">
        <v>43739</v>
      </c>
      <c r="L2" s="5">
        <v>43770</v>
      </c>
      <c r="M2" s="5">
        <v>43800</v>
      </c>
      <c r="N2" s="5">
        <v>43831</v>
      </c>
      <c r="O2" s="5">
        <v>43862</v>
      </c>
      <c r="P2" s="6">
        <v>43891</v>
      </c>
      <c r="Q2" s="4">
        <v>43466</v>
      </c>
      <c r="R2" s="5">
        <v>43497</v>
      </c>
      <c r="S2" s="5">
        <v>43525</v>
      </c>
      <c r="T2" s="5">
        <v>43556</v>
      </c>
      <c r="U2" s="5">
        <v>43586</v>
      </c>
      <c r="V2" s="5">
        <v>43617</v>
      </c>
      <c r="W2" s="5">
        <v>43647</v>
      </c>
      <c r="X2" s="5">
        <v>43678</v>
      </c>
      <c r="Y2" s="5">
        <v>43709</v>
      </c>
      <c r="Z2" s="5">
        <v>43739</v>
      </c>
      <c r="AA2" s="5">
        <v>43770</v>
      </c>
      <c r="AB2" s="5">
        <v>43800</v>
      </c>
      <c r="AC2" s="5">
        <v>43831</v>
      </c>
      <c r="AD2" s="5">
        <v>43862</v>
      </c>
      <c r="AE2" s="6">
        <v>43891</v>
      </c>
    </row>
    <row r="3" spans="1:31" x14ac:dyDescent="0.25">
      <c r="A3" t="s">
        <v>17</v>
      </c>
      <c r="B3" s="7">
        <v>1198120.6502999999</v>
      </c>
      <c r="C3" s="8">
        <v>1181708.0064999999</v>
      </c>
      <c r="D3" s="8">
        <v>1110166.4508</v>
      </c>
      <c r="E3" s="8">
        <v>1550776.4678</v>
      </c>
      <c r="F3" s="8">
        <v>1108223.1174000001</v>
      </c>
      <c r="G3" s="8">
        <v>1793207.0970000001</v>
      </c>
      <c r="H3" s="8">
        <v>1676554.5099999998</v>
      </c>
      <c r="I3" s="8">
        <v>2177860.7842999999</v>
      </c>
      <c r="J3" s="8">
        <v>2063783.8729999999</v>
      </c>
      <c r="K3" s="8">
        <v>1895085.1963</v>
      </c>
      <c r="L3" s="8">
        <v>1640004.4959</v>
      </c>
      <c r="M3" s="8">
        <v>2444122.3783</v>
      </c>
      <c r="N3" s="8">
        <v>1475510.4701999999</v>
      </c>
      <c r="O3" s="8">
        <v>1262658.8804000001</v>
      </c>
      <c r="P3" s="9">
        <f>F141</f>
        <v>1930504.3577967349</v>
      </c>
      <c r="Q3" s="7">
        <v>-293676.91590000002</v>
      </c>
      <c r="R3" s="8">
        <v>-355799.25540000002</v>
      </c>
      <c r="S3" s="8">
        <v>-62899.190700000006</v>
      </c>
      <c r="T3" s="8">
        <v>-26932.78409999999</v>
      </c>
      <c r="U3" s="8">
        <v>29296.20120000001</v>
      </c>
      <c r="V3" s="8">
        <v>81679.344400000002</v>
      </c>
      <c r="W3" s="8">
        <v>30997.971899999975</v>
      </c>
      <c r="X3" s="8">
        <v>189864.97229999996</v>
      </c>
      <c r="Y3" s="8">
        <v>266156.56539999996</v>
      </c>
      <c r="Z3" s="8">
        <v>189155.4424</v>
      </c>
      <c r="AA3" s="8">
        <v>178393.69819999998</v>
      </c>
      <c r="AB3" s="8">
        <v>335138.03450000001</v>
      </c>
      <c r="AC3" s="8">
        <v>54989.122699999978</v>
      </c>
      <c r="AD3" s="8">
        <v>79941.842499999984</v>
      </c>
      <c r="AE3" s="9">
        <f>F157</f>
        <v>140248.57599176228</v>
      </c>
    </row>
    <row r="4" spans="1:31" x14ac:dyDescent="0.25">
      <c r="A4" t="s">
        <v>18</v>
      </c>
      <c r="B4" s="7">
        <v>1614429.6788000001</v>
      </c>
      <c r="C4" s="8">
        <v>1051003.2503</v>
      </c>
      <c r="D4" s="8">
        <v>1406138.1327</v>
      </c>
      <c r="E4" s="8">
        <v>1265622.4276999999</v>
      </c>
      <c r="F4" s="8">
        <v>940939.61569999997</v>
      </c>
      <c r="G4" s="8">
        <v>1315191.7757000001</v>
      </c>
      <c r="H4" s="8">
        <v>1660060.6488000001</v>
      </c>
      <c r="I4" s="8">
        <v>1349017.5385</v>
      </c>
      <c r="J4" s="8">
        <v>1353469.9473000001</v>
      </c>
      <c r="K4" s="8">
        <v>1422670.8192999999</v>
      </c>
      <c r="L4" s="8">
        <v>1352114.5063</v>
      </c>
      <c r="M4" s="8">
        <v>2068502.9233000001</v>
      </c>
      <c r="N4" s="8">
        <v>1334757.3533999999</v>
      </c>
      <c r="O4" s="8">
        <v>1141669.1313</v>
      </c>
      <c r="P4" s="9">
        <f t="shared" ref="P4:P13" si="0">F142</f>
        <v>1720409.9670899918</v>
      </c>
      <c r="Q4" s="7">
        <v>-336679.46050000004</v>
      </c>
      <c r="R4" s="8">
        <v>-184635.37529999999</v>
      </c>
      <c r="S4" s="8">
        <v>-145730.11370000002</v>
      </c>
      <c r="T4" s="8">
        <v>-172990.53509999998</v>
      </c>
      <c r="U4" s="8">
        <v>-240181.91719999997</v>
      </c>
      <c r="V4" s="8">
        <v>-196710.10799999998</v>
      </c>
      <c r="W4" s="8">
        <v>-339572.93050000002</v>
      </c>
      <c r="X4" s="8">
        <v>-137813.57459999999</v>
      </c>
      <c r="Y4" s="8">
        <v>-196960.1421</v>
      </c>
      <c r="Z4" s="8">
        <v>-66300.446099999986</v>
      </c>
      <c r="AA4" s="8">
        <v>-148533.4374</v>
      </c>
      <c r="AB4" s="8">
        <v>-90281.696300000011</v>
      </c>
      <c r="AC4" s="8">
        <v>-330103.53240000003</v>
      </c>
      <c r="AD4" s="8">
        <v>-331758.02260000003</v>
      </c>
      <c r="AE4" s="9">
        <f t="shared" ref="AE4:AE13" si="1">F158</f>
        <v>-367664.24582465802</v>
      </c>
    </row>
    <row r="5" spans="1:31" x14ac:dyDescent="0.25">
      <c r="A5" t="s">
        <v>19</v>
      </c>
      <c r="B5" s="7">
        <v>1728423.0330999999</v>
      </c>
      <c r="C5" s="8">
        <v>2152341.1587</v>
      </c>
      <c r="D5" s="8">
        <v>2309705.5381</v>
      </c>
      <c r="E5" s="8">
        <v>1911300.8426000001</v>
      </c>
      <c r="F5" s="8">
        <v>1515220.5469</v>
      </c>
      <c r="G5" s="8">
        <v>1934322.9772000001</v>
      </c>
      <c r="H5" s="8">
        <v>2191800.0866</v>
      </c>
      <c r="I5" s="8">
        <v>2356415.8836000003</v>
      </c>
      <c r="J5" s="8">
        <v>1952451.6464</v>
      </c>
      <c r="K5" s="8">
        <v>1930710.5560000001</v>
      </c>
      <c r="L5" s="8">
        <v>1436588.0230999999</v>
      </c>
      <c r="M5" s="8">
        <v>2188432.3800999997</v>
      </c>
      <c r="N5" s="8">
        <v>1038844.4796</v>
      </c>
      <c r="O5" s="8">
        <v>967115.24090000009</v>
      </c>
      <c r="P5" s="9">
        <f t="shared" si="0"/>
        <v>1492578.3094974961</v>
      </c>
      <c r="Q5" s="7">
        <v>-267839.2561</v>
      </c>
      <c r="R5" s="8">
        <v>-151769.97880000001</v>
      </c>
      <c r="S5" s="8">
        <v>-654849.05340000009</v>
      </c>
      <c r="T5" s="8">
        <v>-412473.09639999998</v>
      </c>
      <c r="U5" s="8">
        <v>-328879.52490000002</v>
      </c>
      <c r="V5" s="8">
        <v>-385038.36940000003</v>
      </c>
      <c r="W5" s="8">
        <v>-266794.14319999999</v>
      </c>
      <c r="X5" s="8">
        <v>-121250.37849999999</v>
      </c>
      <c r="Y5" s="8">
        <v>-21166.15879999999</v>
      </c>
      <c r="Z5" s="8">
        <v>-90765.467100000009</v>
      </c>
      <c r="AA5" s="8">
        <v>-303917.31280000001</v>
      </c>
      <c r="AB5" s="8">
        <v>-90321.7307</v>
      </c>
      <c r="AC5" s="8">
        <v>-104295.9675</v>
      </c>
      <c r="AD5" s="8">
        <v>-235099.37390000001</v>
      </c>
      <c r="AE5" s="9">
        <f t="shared" si="1"/>
        <v>-212982.13214882076</v>
      </c>
    </row>
    <row r="6" spans="1:31" x14ac:dyDescent="0.25">
      <c r="A6" t="s">
        <v>20</v>
      </c>
      <c r="B6" s="7">
        <v>1979398.6565</v>
      </c>
      <c r="C6" s="8">
        <v>1969347.8237000001</v>
      </c>
      <c r="D6" s="8">
        <v>2505543.9238000005</v>
      </c>
      <c r="E6" s="8">
        <v>2007935.5059</v>
      </c>
      <c r="F6" s="8">
        <v>2270411.3251</v>
      </c>
      <c r="G6" s="8">
        <v>2367665.3580999998</v>
      </c>
      <c r="H6" s="8">
        <v>2711616.1934999996</v>
      </c>
      <c r="I6" s="8">
        <v>3132283.9897000003</v>
      </c>
      <c r="J6" s="8">
        <v>3014432.9331999999</v>
      </c>
      <c r="K6" s="8">
        <v>2978074.22</v>
      </c>
      <c r="L6" s="8">
        <v>2896020.5544000003</v>
      </c>
      <c r="M6" s="8">
        <v>4352622.6902000001</v>
      </c>
      <c r="N6" s="8">
        <v>2251199.2409999999</v>
      </c>
      <c r="O6" s="8">
        <v>2561652.6517000003</v>
      </c>
      <c r="P6" s="9">
        <f t="shared" si="0"/>
        <v>3458856.5370542468</v>
      </c>
      <c r="Q6" s="7">
        <v>-170396.82939999999</v>
      </c>
      <c r="R6" s="8">
        <v>-116393.91769999999</v>
      </c>
      <c r="S6" s="8">
        <v>-85882.429800000013</v>
      </c>
      <c r="T6" s="8">
        <v>-175487.16030000002</v>
      </c>
      <c r="U6" s="8">
        <v>-75243.101999999984</v>
      </c>
      <c r="V6" s="8">
        <v>-181796.78660000002</v>
      </c>
      <c r="W6" s="8">
        <v>-113694.54530000003</v>
      </c>
      <c r="X6" s="8">
        <v>88848.639199999991</v>
      </c>
      <c r="Y6" s="8">
        <v>93362.879199999996</v>
      </c>
      <c r="Z6" s="8">
        <v>2988.8426999999792</v>
      </c>
      <c r="AA6" s="8">
        <v>154430.37160000001</v>
      </c>
      <c r="AB6" s="8">
        <v>-15251.785499999998</v>
      </c>
      <c r="AC6" s="8">
        <v>-81305.930800000002</v>
      </c>
      <c r="AD6" s="8">
        <v>-153390.92389999997</v>
      </c>
      <c r="AE6" s="9">
        <f t="shared" si="1"/>
        <v>-129598.96953913057</v>
      </c>
    </row>
    <row r="7" spans="1:31" x14ac:dyDescent="0.25">
      <c r="A7" t="s">
        <v>21</v>
      </c>
      <c r="B7" s="7">
        <v>1879384.2644999998</v>
      </c>
      <c r="C7" s="8">
        <v>1995445.7793000001</v>
      </c>
      <c r="D7" s="8">
        <v>2867287.0387000004</v>
      </c>
      <c r="E7" s="8">
        <v>1842448.7639000001</v>
      </c>
      <c r="F7" s="8">
        <v>1800530.5384</v>
      </c>
      <c r="G7" s="8">
        <v>1982748.9087</v>
      </c>
      <c r="H7" s="8">
        <v>2234125.6878</v>
      </c>
      <c r="I7" s="8">
        <v>2039098.6629000001</v>
      </c>
      <c r="J7" s="8">
        <v>2204495.4734</v>
      </c>
      <c r="K7" s="8">
        <v>2012765.1170000001</v>
      </c>
      <c r="L7" s="8">
        <v>1376406.5157000001</v>
      </c>
      <c r="M7" s="8">
        <v>2514612.2550000004</v>
      </c>
      <c r="N7" s="8">
        <v>1367980.1218999999</v>
      </c>
      <c r="O7" s="8">
        <v>1512139.0555999998</v>
      </c>
      <c r="P7" s="9">
        <f t="shared" si="0"/>
        <v>2050299.1309606289</v>
      </c>
      <c r="Q7" s="7">
        <v>-173269.18800000002</v>
      </c>
      <c r="R7" s="8">
        <v>-92071.711499999976</v>
      </c>
      <c r="S7" s="8">
        <v>-53612.11500000002</v>
      </c>
      <c r="T7" s="8">
        <v>-150831.0845</v>
      </c>
      <c r="U7" s="8">
        <v>-238717.88249999998</v>
      </c>
      <c r="V7" s="8">
        <v>-223884.80109999998</v>
      </c>
      <c r="W7" s="8">
        <v>-236457.19180000003</v>
      </c>
      <c r="X7" s="8">
        <v>108074.95600000001</v>
      </c>
      <c r="Y7" s="8">
        <v>-21145.035299999989</v>
      </c>
      <c r="Z7" s="8">
        <v>170646.62409999999</v>
      </c>
      <c r="AA7" s="8">
        <v>-79140.570399999997</v>
      </c>
      <c r="AB7" s="8">
        <v>157278.80009999999</v>
      </c>
      <c r="AC7" s="8">
        <v>-76013.514999999999</v>
      </c>
      <c r="AD7" s="8">
        <v>-27111.829099999988</v>
      </c>
      <c r="AE7" s="9">
        <f t="shared" si="1"/>
        <v>-22519.42059201021</v>
      </c>
    </row>
    <row r="8" spans="1:31" x14ac:dyDescent="0.25">
      <c r="A8" t="s">
        <v>22</v>
      </c>
      <c r="B8" s="7">
        <v>3032542.1010000003</v>
      </c>
      <c r="C8" s="8">
        <v>2518947.7294000001</v>
      </c>
      <c r="D8" s="8">
        <v>2559295.8750999998</v>
      </c>
      <c r="E8" s="8">
        <v>2389096.8575999998</v>
      </c>
      <c r="F8" s="8">
        <v>2222205.5587999998</v>
      </c>
      <c r="G8" s="8">
        <v>3014570.5174000002</v>
      </c>
      <c r="H8" s="8">
        <v>3123793.5434999997</v>
      </c>
      <c r="I8" s="8">
        <v>3378442.9081999999</v>
      </c>
      <c r="J8" s="8">
        <v>3346168.4476999999</v>
      </c>
      <c r="K8" s="8">
        <v>3758275.1596000004</v>
      </c>
      <c r="L8" s="8">
        <v>2978269.8990000002</v>
      </c>
      <c r="M8" s="8">
        <v>5220497.3695</v>
      </c>
      <c r="N8" s="8">
        <v>2121539.8054</v>
      </c>
      <c r="O8" s="8">
        <v>1717156.8119999999</v>
      </c>
      <c r="P8" s="9">
        <f t="shared" si="0"/>
        <v>3020149.1652678037</v>
      </c>
      <c r="Q8" s="7">
        <v>36895.07779999997</v>
      </c>
      <c r="R8" s="8">
        <v>25150.435300000012</v>
      </c>
      <c r="S8" s="8">
        <v>107901.26890000002</v>
      </c>
      <c r="T8" s="8">
        <v>406101.5601</v>
      </c>
      <c r="U8" s="8">
        <v>126661.86499999999</v>
      </c>
      <c r="V8" s="8">
        <v>348866.76830000005</v>
      </c>
      <c r="W8" s="8">
        <v>403456.68770000001</v>
      </c>
      <c r="X8" s="8">
        <v>504702.99029999995</v>
      </c>
      <c r="Y8" s="8">
        <v>519995.57179999998</v>
      </c>
      <c r="Z8" s="8">
        <v>723316.78929999995</v>
      </c>
      <c r="AA8" s="8">
        <v>326733.75710000005</v>
      </c>
      <c r="AB8" s="8">
        <v>806961.63089999999</v>
      </c>
      <c r="AC8" s="8">
        <v>-60987.986399999994</v>
      </c>
      <c r="AD8" s="8">
        <v>19811.164999999979</v>
      </c>
      <c r="AE8" s="9">
        <f t="shared" si="1"/>
        <v>100260.85319067046</v>
      </c>
    </row>
    <row r="9" spans="1:31" x14ac:dyDescent="0.25">
      <c r="A9" t="s">
        <v>23</v>
      </c>
      <c r="B9" s="7">
        <v>2917905.6840999997</v>
      </c>
      <c r="C9" s="8">
        <v>2359675.5101000001</v>
      </c>
      <c r="D9" s="8">
        <v>3160681.2097</v>
      </c>
      <c r="E9" s="8">
        <v>2166536.5342999999</v>
      </c>
      <c r="F9" s="8">
        <v>2019446.7906000002</v>
      </c>
      <c r="G9" s="8">
        <v>2058889.1343999999</v>
      </c>
      <c r="H9" s="8">
        <v>2919944.7308</v>
      </c>
      <c r="I9" s="8">
        <v>2491052.2770999996</v>
      </c>
      <c r="J9" s="8">
        <v>2553439.3295999998</v>
      </c>
      <c r="K9" s="8">
        <v>1996871.8107</v>
      </c>
      <c r="L9" s="8">
        <v>2009446.1152000001</v>
      </c>
      <c r="M9" s="8">
        <v>3584954.1248000003</v>
      </c>
      <c r="N9" s="8">
        <v>2133345.3788000001</v>
      </c>
      <c r="O9" s="8">
        <v>1418613.1000999999</v>
      </c>
      <c r="P9" s="9">
        <f t="shared" si="0"/>
        <v>2543179.7314234087</v>
      </c>
      <c r="Q9" s="7">
        <v>-123844.33809999999</v>
      </c>
      <c r="R9" s="8">
        <v>-231453.38590000005</v>
      </c>
      <c r="S9" s="8">
        <v>-108571.13200000004</v>
      </c>
      <c r="T9" s="8">
        <v>-217866.35159999999</v>
      </c>
      <c r="U9" s="8">
        <v>-204329.59730000002</v>
      </c>
      <c r="V9" s="8">
        <v>-234250.81109999999</v>
      </c>
      <c r="W9" s="8">
        <v>-344959.18490000005</v>
      </c>
      <c r="X9" s="8">
        <v>-36094.689799999993</v>
      </c>
      <c r="Y9" s="8">
        <v>-200172.25390000001</v>
      </c>
      <c r="Z9" s="8">
        <v>-215837.45849999995</v>
      </c>
      <c r="AA9" s="8">
        <v>-118308.86429999996</v>
      </c>
      <c r="AB9" s="8">
        <v>-74636.54720000003</v>
      </c>
      <c r="AC9" s="8">
        <v>-218517.43090000001</v>
      </c>
      <c r="AD9" s="8">
        <v>-498674.22989999992</v>
      </c>
      <c r="AE9" s="9">
        <f t="shared" si="1"/>
        <v>-462004.47165789822</v>
      </c>
    </row>
    <row r="10" spans="1:31" x14ac:dyDescent="0.25">
      <c r="A10" t="s">
        <v>24</v>
      </c>
      <c r="B10" s="7">
        <v>1135079.5548</v>
      </c>
      <c r="C10" s="8">
        <v>1780519.1959000002</v>
      </c>
      <c r="D10" s="8">
        <v>1250071.7027</v>
      </c>
      <c r="E10" s="8">
        <v>1280170.4183000003</v>
      </c>
      <c r="F10" s="8">
        <v>1013249.7879</v>
      </c>
      <c r="G10" s="8">
        <v>1426742.3941000002</v>
      </c>
      <c r="H10" s="8">
        <v>1499809.5897000001</v>
      </c>
      <c r="I10" s="8">
        <v>1377798.2406000001</v>
      </c>
      <c r="J10" s="8">
        <v>1237500.172</v>
      </c>
      <c r="K10" s="8">
        <v>1220909.1464</v>
      </c>
      <c r="L10" s="8">
        <v>1420577.7302999999</v>
      </c>
      <c r="M10" s="8">
        <v>2180447.7897999999</v>
      </c>
      <c r="N10" s="8">
        <v>882188.60840000003</v>
      </c>
      <c r="O10" s="8">
        <v>685875.64289999998</v>
      </c>
      <c r="P10" s="9">
        <f t="shared" si="0"/>
        <v>1239787.1269635058</v>
      </c>
      <c r="Q10" s="7">
        <v>-216877.96280000001</v>
      </c>
      <c r="R10" s="8">
        <v>77897.992400000003</v>
      </c>
      <c r="S10" s="8">
        <v>57567.162799999991</v>
      </c>
      <c r="T10" s="8">
        <v>11785.671700000006</v>
      </c>
      <c r="U10" s="8">
        <v>-54342.722999999998</v>
      </c>
      <c r="V10" s="8">
        <v>-129441.91079999998</v>
      </c>
      <c r="W10" s="8">
        <v>-36158.871600000013</v>
      </c>
      <c r="X10" s="8">
        <v>218466.99850000002</v>
      </c>
      <c r="Y10" s="8">
        <v>68922.059199999989</v>
      </c>
      <c r="Z10" s="8">
        <v>171969.13029999999</v>
      </c>
      <c r="AA10" s="8">
        <v>81632.90879999999</v>
      </c>
      <c r="AB10" s="8">
        <v>168791.48819999999</v>
      </c>
      <c r="AC10" s="8">
        <v>-157244.58089999997</v>
      </c>
      <c r="AD10" s="8">
        <v>-147296.0442</v>
      </c>
      <c r="AE10" s="9">
        <f t="shared" si="1"/>
        <v>-159851.87181406605</v>
      </c>
    </row>
    <row r="11" spans="1:31" x14ac:dyDescent="0.25">
      <c r="A11" t="s">
        <v>25</v>
      </c>
      <c r="B11" s="7">
        <v>797115.49890000001</v>
      </c>
      <c r="C11" s="8">
        <v>552590.63919999998</v>
      </c>
      <c r="D11" s="8">
        <v>662524.45650000009</v>
      </c>
      <c r="E11" s="8">
        <v>668005.5969</v>
      </c>
      <c r="F11" s="8">
        <v>489402.53419999999</v>
      </c>
      <c r="G11" s="8">
        <v>685292.90950000007</v>
      </c>
      <c r="H11" s="8">
        <v>667814.06890000007</v>
      </c>
      <c r="I11" s="8">
        <v>954258.99399999995</v>
      </c>
      <c r="J11" s="8">
        <v>678643.7561</v>
      </c>
      <c r="K11" s="8">
        <v>757282.34110000008</v>
      </c>
      <c r="L11" s="8">
        <v>581257.32279999997</v>
      </c>
      <c r="M11" s="8">
        <v>1163225.5533</v>
      </c>
      <c r="N11" s="8">
        <v>626432.12479999999</v>
      </c>
      <c r="O11" s="8">
        <v>496468.93450000003</v>
      </c>
      <c r="P11" s="9">
        <f t="shared" si="0"/>
        <v>817136.80924258463</v>
      </c>
      <c r="Q11" s="7">
        <v>-135686.43789999999</v>
      </c>
      <c r="R11" s="8">
        <v>-94811.964600000007</v>
      </c>
      <c r="S11" s="8">
        <v>-93005.377999999997</v>
      </c>
      <c r="T11" s="8">
        <v>-88299.828200000004</v>
      </c>
      <c r="U11" s="8">
        <v>-163834.82900000003</v>
      </c>
      <c r="V11" s="8">
        <v>-106361.45020000001</v>
      </c>
      <c r="W11" s="8">
        <v>-49500.818399999989</v>
      </c>
      <c r="X11" s="8">
        <v>-90643.206600000005</v>
      </c>
      <c r="Y11" s="8">
        <v>-132028.56949999998</v>
      </c>
      <c r="Z11" s="8">
        <v>-110864.9806</v>
      </c>
      <c r="AA11" s="8">
        <v>-35253.56210000001</v>
      </c>
      <c r="AB11" s="8">
        <v>61454.839800000002</v>
      </c>
      <c r="AC11" s="8">
        <v>-160488.12079999998</v>
      </c>
      <c r="AD11" s="8">
        <v>-291849.02600000001</v>
      </c>
      <c r="AE11" s="9">
        <f t="shared" si="1"/>
        <v>-254619.69941400454</v>
      </c>
    </row>
    <row r="12" spans="1:31" x14ac:dyDescent="0.25">
      <c r="A12" t="s">
        <v>26</v>
      </c>
      <c r="B12" s="7">
        <v>1447971.1612000002</v>
      </c>
      <c r="C12" s="8">
        <v>1034272.4335</v>
      </c>
      <c r="D12" s="8">
        <v>1003984.1388000001</v>
      </c>
      <c r="E12" s="8">
        <v>705728.42639999988</v>
      </c>
      <c r="F12" s="8">
        <v>724696.22210000001</v>
      </c>
      <c r="G12" s="8">
        <v>652454.74930000002</v>
      </c>
      <c r="H12" s="8">
        <v>1220834.5466999998</v>
      </c>
      <c r="I12" s="8">
        <v>1304422.4702999999</v>
      </c>
      <c r="J12" s="8">
        <v>1047345.8536</v>
      </c>
      <c r="K12" s="8">
        <v>909666.59820000001</v>
      </c>
      <c r="L12" s="8">
        <v>980332.28379999998</v>
      </c>
      <c r="M12" s="8">
        <v>1555405.9789</v>
      </c>
      <c r="N12" s="8">
        <v>1365123.8365</v>
      </c>
      <c r="O12" s="8">
        <v>642021.18180000002</v>
      </c>
      <c r="P12" s="9">
        <f t="shared" si="0"/>
        <v>1326732.6460536616</v>
      </c>
      <c r="Q12" s="7">
        <v>-353679.4669</v>
      </c>
      <c r="R12" s="8">
        <v>-290333.42259999999</v>
      </c>
      <c r="S12" s="8">
        <v>-297235.54350000003</v>
      </c>
      <c r="T12" s="8">
        <v>-186540.22149999999</v>
      </c>
      <c r="U12" s="8">
        <v>-228610.38570000001</v>
      </c>
      <c r="V12" s="8">
        <v>-223978.8026</v>
      </c>
      <c r="W12" s="8">
        <v>-132638.18650000001</v>
      </c>
      <c r="X12" s="8">
        <v>-105049.62509999999</v>
      </c>
      <c r="Y12" s="8">
        <v>-169038.72960000002</v>
      </c>
      <c r="Z12" s="8">
        <v>-35831.399099999995</v>
      </c>
      <c r="AA12" s="8">
        <v>-42549.308500000014</v>
      </c>
      <c r="AB12" s="8">
        <v>27373.25970000001</v>
      </c>
      <c r="AC12" s="8">
        <v>-160760.4417</v>
      </c>
      <c r="AD12" s="8">
        <v>-460442.87169999996</v>
      </c>
      <c r="AE12" s="9">
        <f t="shared" si="1"/>
        <v>-429447.46176225366</v>
      </c>
    </row>
    <row r="13" spans="1:31" ht="15.75" thickBot="1" x14ac:dyDescent="0.3">
      <c r="A13" s="26" t="s">
        <v>53</v>
      </c>
      <c r="B13" s="74">
        <f>SUM(B3:B12)</f>
        <v>17730370.283199999</v>
      </c>
      <c r="C13" s="74">
        <f t="shared" ref="C13:O13" si="2">SUM(C3:C12)</f>
        <v>16595851.5266</v>
      </c>
      <c r="D13" s="74">
        <f t="shared" si="2"/>
        <v>18835398.466899998</v>
      </c>
      <c r="E13" s="74">
        <f t="shared" si="2"/>
        <v>15787621.841399999</v>
      </c>
      <c r="F13" s="74">
        <f t="shared" si="2"/>
        <v>14104326.037100002</v>
      </c>
      <c r="G13" s="74">
        <f t="shared" si="2"/>
        <v>17231085.821399998</v>
      </c>
      <c r="H13" s="74">
        <f t="shared" si="2"/>
        <v>19906353.606299996</v>
      </c>
      <c r="I13" s="74">
        <f t="shared" si="2"/>
        <v>20560651.749200001</v>
      </c>
      <c r="J13" s="74">
        <f t="shared" si="2"/>
        <v>19451731.432299994</v>
      </c>
      <c r="K13" s="74">
        <f t="shared" si="2"/>
        <v>18882310.964600001</v>
      </c>
      <c r="L13" s="74">
        <f t="shared" si="2"/>
        <v>16671017.4465</v>
      </c>
      <c r="M13" s="74">
        <f t="shared" si="2"/>
        <v>27272823.4432</v>
      </c>
      <c r="N13" s="74">
        <f t="shared" si="2"/>
        <v>14596921.42</v>
      </c>
      <c r="O13" s="74">
        <f t="shared" si="2"/>
        <v>12405370.631199999</v>
      </c>
      <c r="P13" s="137">
        <f t="shared" si="0"/>
        <v>19599633.781350061</v>
      </c>
      <c r="Q13" s="74">
        <f t="shared" ref="Q13:AD13" si="3">SUM(Q3:Q12)</f>
        <v>-2035054.7778000003</v>
      </c>
      <c r="R13" s="74">
        <f t="shared" si="3"/>
        <v>-1414220.5840999999</v>
      </c>
      <c r="S13" s="74">
        <f t="shared" si="3"/>
        <v>-1336316.5244</v>
      </c>
      <c r="T13" s="74">
        <f t="shared" si="3"/>
        <v>-1013533.8298999999</v>
      </c>
      <c r="U13" s="74">
        <f t="shared" si="3"/>
        <v>-1378181.8953999998</v>
      </c>
      <c r="V13" s="74">
        <f t="shared" si="3"/>
        <v>-1250916.9270999997</v>
      </c>
      <c r="W13" s="74">
        <f t="shared" si="3"/>
        <v>-1085321.2126000002</v>
      </c>
      <c r="X13" s="74">
        <f t="shared" si="3"/>
        <v>619107.08169999998</v>
      </c>
      <c r="Y13" s="74">
        <f t="shared" si="3"/>
        <v>207926.18639999995</v>
      </c>
      <c r="Z13" s="74">
        <f t="shared" si="3"/>
        <v>738477.07739999983</v>
      </c>
      <c r="AA13" s="74">
        <f t="shared" si="3"/>
        <v>13487.680200000046</v>
      </c>
      <c r="AB13" s="74">
        <f t="shared" si="3"/>
        <v>1286506.2934999999</v>
      </c>
      <c r="AC13" s="74">
        <f t="shared" si="3"/>
        <v>-1294728.3837000001</v>
      </c>
      <c r="AD13" s="74">
        <f t="shared" si="3"/>
        <v>-2045869.3138000001</v>
      </c>
      <c r="AE13" s="75">
        <f t="shared" si="1"/>
        <v>-1798178.8435704093</v>
      </c>
    </row>
    <row r="14" spans="1:31" ht="15" customHeight="1" x14ac:dyDescent="0.25">
      <c r="A14" s="190" t="s">
        <v>27</v>
      </c>
      <c r="B14" s="191"/>
      <c r="C14" s="191"/>
      <c r="D14" s="191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2"/>
      <c r="P14" s="10"/>
    </row>
    <row r="15" spans="1:31" x14ac:dyDescent="0.25">
      <c r="A15" s="193"/>
      <c r="B15" s="194"/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5"/>
      <c r="P15" s="10"/>
    </row>
    <row r="16" spans="1:31" ht="18" customHeight="1" thickBot="1" x14ac:dyDescent="0.3">
      <c r="A16" s="196"/>
      <c r="B16" s="197"/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8"/>
      <c r="P16" s="10"/>
    </row>
    <row r="17" spans="1:16" x14ac:dyDescent="0.25">
      <c r="A17" s="11"/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0"/>
    </row>
    <row r="18" spans="1:16" x14ac:dyDescent="0.25">
      <c r="A18" s="11"/>
      <c r="B18" s="11"/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0"/>
    </row>
    <row r="19" spans="1:16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0"/>
    </row>
    <row r="24" spans="1:16" ht="15.75" thickBot="1" x14ac:dyDescent="0.3"/>
    <row r="25" spans="1:16" ht="30" customHeight="1" thickBot="1" x14ac:dyDescent="0.3">
      <c r="A25" s="76" t="s">
        <v>51</v>
      </c>
      <c r="B25" s="77" t="s">
        <v>17</v>
      </c>
      <c r="D25" s="79" t="s">
        <v>63</v>
      </c>
      <c r="E25" s="204" t="str">
        <f>IF(P45&lt;0, "Убыточный", "Прибыльный")</f>
        <v>Прибыльный</v>
      </c>
      <c r="F25" s="205"/>
      <c r="G25" s="203" t="s">
        <v>64</v>
      </c>
      <c r="H25" s="203"/>
      <c r="I25" s="78" t="str">
        <f>IF(Q43-P43&gt;0, "Д +", "Д -")</f>
        <v>Д +</v>
      </c>
      <c r="J25" s="78" t="str">
        <f>IF(Q49-P49&gt;0,"%П/Д +","%П/Д -")</f>
        <v>%П/Д +</v>
      </c>
    </row>
    <row r="40" spans="1:17" ht="15.75" thickBot="1" x14ac:dyDescent="0.3"/>
    <row r="41" spans="1:17" x14ac:dyDescent="0.25">
      <c r="A41" s="34" t="s">
        <v>52</v>
      </c>
      <c r="B41" s="38">
        <v>1</v>
      </c>
      <c r="C41" s="39">
        <v>2</v>
      </c>
      <c r="D41" s="39">
        <v>3</v>
      </c>
      <c r="E41" s="39">
        <v>4</v>
      </c>
      <c r="F41" s="39">
        <v>5</v>
      </c>
      <c r="G41" s="39">
        <v>6</v>
      </c>
      <c r="H41" s="39">
        <v>7</v>
      </c>
      <c r="I41" s="39">
        <v>8</v>
      </c>
      <c r="J41" s="39">
        <v>9</v>
      </c>
      <c r="K41" s="39">
        <v>10</v>
      </c>
      <c r="L41" s="39">
        <v>11</v>
      </c>
      <c r="M41" s="39">
        <v>12</v>
      </c>
      <c r="N41" s="39">
        <v>13</v>
      </c>
      <c r="O41" s="40">
        <v>14</v>
      </c>
      <c r="P41" s="199" t="s">
        <v>61</v>
      </c>
      <c r="Q41" s="201" t="s">
        <v>62</v>
      </c>
    </row>
    <row r="42" spans="1:17" ht="15.75" thickBot="1" x14ac:dyDescent="0.3">
      <c r="A42" s="36" t="s">
        <v>44</v>
      </c>
      <c r="B42" s="41">
        <v>43466</v>
      </c>
      <c r="C42" s="42">
        <v>43497</v>
      </c>
      <c r="D42" s="42">
        <v>43525</v>
      </c>
      <c r="E42" s="42">
        <v>43556</v>
      </c>
      <c r="F42" s="42">
        <v>43586</v>
      </c>
      <c r="G42" s="42">
        <v>43617</v>
      </c>
      <c r="H42" s="42">
        <v>43647</v>
      </c>
      <c r="I42" s="42">
        <v>43678</v>
      </c>
      <c r="J42" s="42">
        <v>43709</v>
      </c>
      <c r="K42" s="42">
        <v>43739</v>
      </c>
      <c r="L42" s="42">
        <v>43770</v>
      </c>
      <c r="M42" s="42">
        <v>43800</v>
      </c>
      <c r="N42" s="42">
        <v>43831</v>
      </c>
      <c r="O42" s="43">
        <v>43862</v>
      </c>
      <c r="P42" s="200"/>
      <c r="Q42" s="202"/>
    </row>
    <row r="43" spans="1:17" x14ac:dyDescent="0.25">
      <c r="A43" s="37" t="s">
        <v>55</v>
      </c>
      <c r="B43" s="47">
        <f t="shared" ref="B43:O43" si="4">IF(INDEX(B$3:B$13,MATCH($B$25,$A$3:$A$13,0))&lt;&gt;0,INDEX(B$3:B$13,MATCH($B$25,$A$3:$A$13,0)),"")</f>
        <v>1198120.6502999999</v>
      </c>
      <c r="C43" s="48">
        <f t="shared" si="4"/>
        <v>1181708.0064999999</v>
      </c>
      <c r="D43" s="48">
        <f t="shared" si="4"/>
        <v>1110166.4508</v>
      </c>
      <c r="E43" s="48">
        <f t="shared" si="4"/>
        <v>1550776.4678</v>
      </c>
      <c r="F43" s="48">
        <f t="shared" si="4"/>
        <v>1108223.1174000001</v>
      </c>
      <c r="G43" s="48">
        <f t="shared" si="4"/>
        <v>1793207.0970000001</v>
      </c>
      <c r="H43" s="48">
        <f t="shared" si="4"/>
        <v>1676554.5099999998</v>
      </c>
      <c r="I43" s="48">
        <f t="shared" si="4"/>
        <v>2177860.7842999999</v>
      </c>
      <c r="J43" s="48">
        <f t="shared" si="4"/>
        <v>2063783.8729999999</v>
      </c>
      <c r="K43" s="48">
        <f t="shared" si="4"/>
        <v>1895085.1963</v>
      </c>
      <c r="L43" s="48">
        <f t="shared" si="4"/>
        <v>1640004.4959</v>
      </c>
      <c r="M43" s="48">
        <f t="shared" si="4"/>
        <v>2444122.3783</v>
      </c>
      <c r="N43" s="48">
        <f t="shared" si="4"/>
        <v>1475510.4701999999</v>
      </c>
      <c r="O43" s="59">
        <f t="shared" si="4"/>
        <v>1262658.8804000001</v>
      </c>
      <c r="P43" s="71">
        <f>AVERAGE(D43:O43)</f>
        <v>1683162.8101166666</v>
      </c>
      <c r="Q43" s="72">
        <f>AVERAGE(M43:O43)</f>
        <v>1727430.5763000001</v>
      </c>
    </row>
    <row r="44" spans="1:17" x14ac:dyDescent="0.25">
      <c r="A44" s="37" t="s">
        <v>57</v>
      </c>
      <c r="B44" s="47">
        <f>B43 - B45</f>
        <v>1491797.5661999998</v>
      </c>
      <c r="C44" s="47">
        <f t="shared" ref="C44:O44" si="5">C43 - C45</f>
        <v>1537507.2618999998</v>
      </c>
      <c r="D44" s="47">
        <f t="shared" si="5"/>
        <v>1173065.6414999999</v>
      </c>
      <c r="E44" s="47">
        <f t="shared" si="5"/>
        <v>1577709.2519</v>
      </c>
      <c r="F44" s="47">
        <f t="shared" si="5"/>
        <v>1078926.9162000001</v>
      </c>
      <c r="G44" s="47">
        <f t="shared" si="5"/>
        <v>1711527.7526</v>
      </c>
      <c r="H44" s="47">
        <f>H43 - H45</f>
        <v>1645556.5380999998</v>
      </c>
      <c r="I44" s="47">
        <f t="shared" si="5"/>
        <v>1987995.8119999999</v>
      </c>
      <c r="J44" s="47">
        <f t="shared" si="5"/>
        <v>1797627.3075999999</v>
      </c>
      <c r="K44" s="47">
        <f t="shared" si="5"/>
        <v>1705929.7538999999</v>
      </c>
      <c r="L44" s="47">
        <f t="shared" si="5"/>
        <v>1461610.7977</v>
      </c>
      <c r="M44" s="47">
        <f t="shared" si="5"/>
        <v>2108984.3437999999</v>
      </c>
      <c r="N44" s="47">
        <f t="shared" si="5"/>
        <v>1420521.3474999999</v>
      </c>
      <c r="O44" s="60">
        <f t="shared" si="5"/>
        <v>1182717.0379000001</v>
      </c>
      <c r="P44" s="67">
        <f t="shared" ref="P44:P45" si="6">AVERAGE(D44:O44)</f>
        <v>1571014.3750583334</v>
      </c>
      <c r="Q44" s="68">
        <f t="shared" ref="Q44:Q45" si="7">AVERAGE(M44:O44)</f>
        <v>1570740.9097333334</v>
      </c>
    </row>
    <row r="45" spans="1:17" x14ac:dyDescent="0.25">
      <c r="A45" s="35" t="s">
        <v>56</v>
      </c>
      <c r="B45" s="50">
        <f t="shared" ref="B45:O45" si="8">IF(INDEX(Q$3:Q$13,MATCH($B$25,$A$3:$A$13,0))&lt;&gt;0,INDEX(Q$3:Q$13,MATCH($B$25,$A$3:$A$13,0)),"")</f>
        <v>-293676.91590000002</v>
      </c>
      <c r="C45" s="51">
        <f t="shared" si="8"/>
        <v>-355799.25540000002</v>
      </c>
      <c r="D45" s="51">
        <f t="shared" si="8"/>
        <v>-62899.190700000006</v>
      </c>
      <c r="E45" s="51">
        <f t="shared" si="8"/>
        <v>-26932.78409999999</v>
      </c>
      <c r="F45" s="51">
        <f t="shared" si="8"/>
        <v>29296.20120000001</v>
      </c>
      <c r="G45" s="51">
        <f t="shared" si="8"/>
        <v>81679.344400000002</v>
      </c>
      <c r="H45" s="51">
        <f t="shared" si="8"/>
        <v>30997.971899999975</v>
      </c>
      <c r="I45" s="51">
        <f t="shared" si="8"/>
        <v>189864.97229999996</v>
      </c>
      <c r="J45" s="51">
        <f t="shared" si="8"/>
        <v>266156.56539999996</v>
      </c>
      <c r="K45" s="51">
        <f t="shared" si="8"/>
        <v>189155.4424</v>
      </c>
      <c r="L45" s="51">
        <f t="shared" si="8"/>
        <v>178393.69819999998</v>
      </c>
      <c r="M45" s="51">
        <f t="shared" si="8"/>
        <v>335138.03450000001</v>
      </c>
      <c r="N45" s="51">
        <f t="shared" si="8"/>
        <v>54989.122699999978</v>
      </c>
      <c r="O45" s="60">
        <f t="shared" si="8"/>
        <v>79941.842499999984</v>
      </c>
      <c r="P45" s="67">
        <f t="shared" si="6"/>
        <v>112148.43505833333</v>
      </c>
      <c r="Q45" s="68">
        <f t="shared" si="7"/>
        <v>156689.66656666665</v>
      </c>
    </row>
    <row r="46" spans="1:17" x14ac:dyDescent="0.25">
      <c r="A46" s="35" t="s">
        <v>58</v>
      </c>
      <c r="B46" s="53">
        <f t="shared" ref="B46:O46" si="9">IFERROR(B$43/B$13,"")</f>
        <v>6.7574485538818743E-2</v>
      </c>
      <c r="C46" s="54">
        <f t="shared" si="9"/>
        <v>7.1205024014944107E-2</v>
      </c>
      <c r="D46" s="54">
        <f t="shared" si="9"/>
        <v>5.8940428191680057E-2</v>
      </c>
      <c r="E46" s="54">
        <f t="shared" si="9"/>
        <v>9.8227363397657974E-2</v>
      </c>
      <c r="F46" s="54">
        <f t="shared" si="9"/>
        <v>7.8573277055914006E-2</v>
      </c>
      <c r="G46" s="54">
        <f t="shared" si="9"/>
        <v>0.10406814263399129</v>
      </c>
      <c r="H46" s="54">
        <f t="shared" si="9"/>
        <v>8.4222080204051086E-2</v>
      </c>
      <c r="I46" s="54">
        <f t="shared" si="9"/>
        <v>0.10592372318084414</v>
      </c>
      <c r="J46" s="54">
        <f t="shared" si="9"/>
        <v>0.10609769521971936</v>
      </c>
      <c r="K46" s="54">
        <f t="shared" si="9"/>
        <v>0.10036299051810182</v>
      </c>
      <c r="L46" s="54">
        <f t="shared" si="9"/>
        <v>9.8374589383223937E-2</v>
      </c>
      <c r="M46" s="54">
        <f t="shared" si="9"/>
        <v>8.9617504523881591E-2</v>
      </c>
      <c r="N46" s="54">
        <f t="shared" si="9"/>
        <v>0.10108367564261368</v>
      </c>
      <c r="O46" s="61">
        <f t="shared" si="9"/>
        <v>0.10178324517160035</v>
      </c>
      <c r="P46" s="69">
        <f>SUM($D$43:$O$43)/SUM($D$13:$O$13)</f>
        <v>9.3636662734871784E-2</v>
      </c>
      <c r="Q46" s="55">
        <f>SUM($M$43:$O$43)/SUM($M$13:$O$13)</f>
        <v>9.5481910663731323E-2</v>
      </c>
    </row>
    <row r="47" spans="1:17" x14ac:dyDescent="0.25">
      <c r="A47" s="35" t="s">
        <v>60</v>
      </c>
      <c r="B47" s="53">
        <f>B$44/(Q$13-B$13)</f>
        <v>-7.5475106737953684E-2</v>
      </c>
      <c r="C47" s="53">
        <f t="shared" ref="C47:O47" si="10">C$44/(R$13-C$13)</f>
        <v>-8.5369300714045915E-2</v>
      </c>
      <c r="D47" s="53">
        <f t="shared" si="10"/>
        <v>-5.8153986510613487E-2</v>
      </c>
      <c r="E47" s="53">
        <f t="shared" si="10"/>
        <v>-9.3904805286404686E-2</v>
      </c>
      <c r="F47" s="53">
        <f t="shared" si="10"/>
        <v>-6.9686831158353751E-2</v>
      </c>
      <c r="G47" s="53">
        <f t="shared" si="10"/>
        <v>-9.260510215749794E-2</v>
      </c>
      <c r="H47" s="53">
        <f t="shared" si="10"/>
        <v>-7.8390912220992093E-2</v>
      </c>
      <c r="I47" s="53">
        <f t="shared" si="10"/>
        <v>-9.9691164608725763E-2</v>
      </c>
      <c r="J47" s="53">
        <f t="shared" si="10"/>
        <v>-9.3413297662789177E-2</v>
      </c>
      <c r="K47" s="53">
        <f t="shared" si="10"/>
        <v>-9.4022562403610219E-2</v>
      </c>
      <c r="L47" s="53">
        <f t="shared" si="10"/>
        <v>-8.7744750764726112E-2</v>
      </c>
      <c r="M47" s="53">
        <f t="shared" si="10"/>
        <v>-8.1157492677808987E-2</v>
      </c>
      <c r="N47" s="53">
        <f t="shared" si="10"/>
        <v>-8.9387909062107862E-2</v>
      </c>
      <c r="O47" s="62">
        <f t="shared" si="10"/>
        <v>-8.1841907158230379E-2</v>
      </c>
      <c r="P47" s="69">
        <f t="array" ref="P47">SUM($D$44:$O$44)/SUM($D$13:$O$13-$S$13:$AD$13)</f>
        <v>8.4826090500449314E-2</v>
      </c>
      <c r="Q47" s="55">
        <f t="array" ref="Q47">SUM($M$44:$O$44)/SUM($M$13:$O$13-$AB$13:$AD$13)</f>
        <v>8.3655051946663353E-2</v>
      </c>
    </row>
    <row r="48" spans="1:17" x14ac:dyDescent="0.25">
      <c r="A48" s="35" t="s">
        <v>59</v>
      </c>
      <c r="B48" s="53">
        <f t="shared" ref="B48:O48" si="11">IFERROR(B$45/Q$13,"")</f>
        <v>0.14430909629738811</v>
      </c>
      <c r="C48" s="54">
        <f t="shared" si="11"/>
        <v>0.25158681707806435</v>
      </c>
      <c r="D48" s="54">
        <f t="shared" si="11"/>
        <v>4.7069080978581368E-2</v>
      </c>
      <c r="E48" s="54">
        <f t="shared" si="11"/>
        <v>2.6573147639933545E-2</v>
      </c>
      <c r="F48" s="54">
        <f t="shared" si="11"/>
        <v>-2.1257136882862012E-2</v>
      </c>
      <c r="G48" s="54">
        <f t="shared" si="11"/>
        <v>-6.5295578491656667E-2</v>
      </c>
      <c r="H48" s="54">
        <f t="shared" si="11"/>
        <v>-2.8561103883467918E-2</v>
      </c>
      <c r="I48" s="54">
        <f t="shared" si="11"/>
        <v>0.30667549752241829</v>
      </c>
      <c r="J48" s="54">
        <f t="shared" si="11"/>
        <v>1.2800531285077232</v>
      </c>
      <c r="K48" s="54">
        <f t="shared" si="11"/>
        <v>0.256142605083926</v>
      </c>
      <c r="L48" s="54">
        <f t="shared" si="11"/>
        <v>13.226418150098144</v>
      </c>
      <c r="M48" s="54">
        <f t="shared" si="11"/>
        <v>0.2605024446388377</v>
      </c>
      <c r="N48" s="54">
        <f t="shared" si="11"/>
        <v>-4.2471551093098948E-2</v>
      </c>
      <c r="O48" s="61">
        <f t="shared" si="11"/>
        <v>-3.9074755147246384E-2</v>
      </c>
      <c r="P48" s="69">
        <f>SUM($D$45:$O$45)/SUM($S$13:$AD$13)</f>
        <v>-0.20579696565394359</v>
      </c>
      <c r="Q48" s="55">
        <f>SUM($M$45:$O$45)/SUM($AB$13:$AD$13)</f>
        <v>-0.22884522021981057</v>
      </c>
    </row>
    <row r="49" spans="1:17" ht="15.75" thickBot="1" x14ac:dyDescent="0.3">
      <c r="A49" s="36" t="s">
        <v>54</v>
      </c>
      <c r="B49" s="56">
        <f t="shared" ref="B49:O49" si="12">IFERROR(B$45/B$43,"")</f>
        <v>-0.24511464335955285</v>
      </c>
      <c r="C49" s="57">
        <f t="shared" si="12"/>
        <v>-0.30108897751637603</v>
      </c>
      <c r="D49" s="57">
        <f t="shared" si="12"/>
        <v>-5.665744146265099E-2</v>
      </c>
      <c r="E49" s="57">
        <f t="shared" si="12"/>
        <v>-1.7367289650846988E-2</v>
      </c>
      <c r="F49" s="57">
        <f t="shared" si="12"/>
        <v>2.6435291540147409E-2</v>
      </c>
      <c r="G49" s="57">
        <f t="shared" si="12"/>
        <v>4.5549309132585925E-2</v>
      </c>
      <c r="H49" s="57">
        <f t="shared" si="12"/>
        <v>1.8489092788280398E-2</v>
      </c>
      <c r="I49" s="57">
        <f t="shared" si="12"/>
        <v>8.7179572573563596E-2</v>
      </c>
      <c r="J49" s="57">
        <f t="shared" si="12"/>
        <v>0.12896532862867272</v>
      </c>
      <c r="K49" s="57">
        <f t="shared" si="12"/>
        <v>9.9813687938310455E-2</v>
      </c>
      <c r="L49" s="57">
        <f t="shared" si="12"/>
        <v>0.10877634704415934</v>
      </c>
      <c r="M49" s="57">
        <f t="shared" si="12"/>
        <v>0.13711998935712214</v>
      </c>
      <c r="N49" s="57">
        <f t="shared" si="12"/>
        <v>3.7267863434778885E-2</v>
      </c>
      <c r="O49" s="63">
        <f t="shared" si="12"/>
        <v>6.3312303695733763E-2</v>
      </c>
      <c r="P49" s="70">
        <f>SUM($D$45:$O$45)/SUM($D$43:$O$43)</f>
        <v>6.662958234596443E-2</v>
      </c>
      <c r="Q49" s="58">
        <f>SUM($M$45:$O$45)/SUM($M$43:$O$43)</f>
        <v>9.0706780762374678E-2</v>
      </c>
    </row>
    <row r="62" spans="1:17" x14ac:dyDescent="0.25"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95" spans="1:5" ht="15.75" thickBot="1" x14ac:dyDescent="0.3">
      <c r="A95" s="84" t="s">
        <v>72</v>
      </c>
    </row>
    <row r="96" spans="1:5" ht="15.75" thickBot="1" x14ac:dyDescent="0.3">
      <c r="A96" s="30" t="s">
        <v>68</v>
      </c>
      <c r="B96" s="100">
        <v>0.19161671898993127</v>
      </c>
      <c r="C96" s="49"/>
      <c r="D96" s="99" t="s">
        <v>70</v>
      </c>
      <c r="E96" s="83">
        <f t="array" ref="E96">AVERAGE(ABS((C104:O104-C101:O101)/C101:O101))</f>
        <v>0.14941649710176816</v>
      </c>
    </row>
    <row r="97" spans="1:16" ht="15.75" thickBot="1" x14ac:dyDescent="0.3">
      <c r="A97" s="32" t="s">
        <v>69</v>
      </c>
      <c r="B97" s="101">
        <v>1</v>
      </c>
      <c r="C97" s="49"/>
      <c r="D97" s="49"/>
      <c r="E97" s="49"/>
    </row>
    <row r="98" spans="1:16" ht="15.75" thickBot="1" x14ac:dyDescent="0.3">
      <c r="B98" s="80"/>
      <c r="C98" s="49"/>
      <c r="D98" s="49"/>
      <c r="E98" s="49"/>
    </row>
    <row r="99" spans="1:16" x14ac:dyDescent="0.25">
      <c r="A99" s="34" t="s">
        <v>52</v>
      </c>
      <c r="B99" s="38">
        <v>1</v>
      </c>
      <c r="C99" s="39">
        <v>2</v>
      </c>
      <c r="D99" s="39">
        <v>3</v>
      </c>
      <c r="E99" s="39">
        <v>4</v>
      </c>
      <c r="F99" s="39">
        <v>5</v>
      </c>
      <c r="G99" s="39">
        <v>6</v>
      </c>
      <c r="H99" s="39">
        <v>7</v>
      </c>
      <c r="I99" s="39">
        <v>8</v>
      </c>
      <c r="J99" s="39">
        <v>9</v>
      </c>
      <c r="K99" s="39">
        <v>10</v>
      </c>
      <c r="L99" s="39">
        <v>11</v>
      </c>
      <c r="M99" s="39">
        <v>12</v>
      </c>
      <c r="N99" s="39">
        <v>13</v>
      </c>
      <c r="O99" s="40">
        <v>14</v>
      </c>
      <c r="P99" s="46">
        <v>15</v>
      </c>
    </row>
    <row r="100" spans="1:16" ht="15.75" thickBot="1" x14ac:dyDescent="0.3">
      <c r="A100" s="85" t="s">
        <v>44</v>
      </c>
      <c r="B100" s="86">
        <v>43466</v>
      </c>
      <c r="C100" s="87">
        <v>43497</v>
      </c>
      <c r="D100" s="87">
        <v>43525</v>
      </c>
      <c r="E100" s="87">
        <v>43556</v>
      </c>
      <c r="F100" s="87">
        <v>43586</v>
      </c>
      <c r="G100" s="87">
        <v>43617</v>
      </c>
      <c r="H100" s="87">
        <v>43647</v>
      </c>
      <c r="I100" s="87">
        <v>43678</v>
      </c>
      <c r="J100" s="87">
        <v>43709</v>
      </c>
      <c r="K100" s="87">
        <v>43739</v>
      </c>
      <c r="L100" s="87">
        <v>43770</v>
      </c>
      <c r="M100" s="87">
        <v>43800</v>
      </c>
      <c r="N100" s="87">
        <v>43831</v>
      </c>
      <c r="O100" s="88">
        <v>43862</v>
      </c>
      <c r="P100" s="102">
        <v>43891</v>
      </c>
    </row>
    <row r="101" spans="1:16" x14ac:dyDescent="0.25">
      <c r="A101" s="96" t="s">
        <v>65</v>
      </c>
      <c r="B101" s="93">
        <f>B$13</f>
        <v>17730370.283199999</v>
      </c>
      <c r="C101" s="90">
        <f t="shared" ref="C101:N101" si="13">C$13</f>
        <v>16595851.5266</v>
      </c>
      <c r="D101" s="90">
        <f t="shared" si="13"/>
        <v>18835398.466899998</v>
      </c>
      <c r="E101" s="90">
        <f t="shared" si="13"/>
        <v>15787621.841399999</v>
      </c>
      <c r="F101" s="90">
        <f t="shared" si="13"/>
        <v>14104326.037100002</v>
      </c>
      <c r="G101" s="90">
        <f t="shared" si="13"/>
        <v>17231085.821399998</v>
      </c>
      <c r="H101" s="90">
        <f t="shared" si="13"/>
        <v>19906353.606299996</v>
      </c>
      <c r="I101" s="90">
        <f t="shared" si="13"/>
        <v>20560651.749200001</v>
      </c>
      <c r="J101" s="90">
        <f t="shared" si="13"/>
        <v>19451731.432299994</v>
      </c>
      <c r="K101" s="90">
        <f t="shared" si="13"/>
        <v>18882310.964600001</v>
      </c>
      <c r="L101" s="90">
        <f t="shared" si="13"/>
        <v>16671017.4465</v>
      </c>
      <c r="M101" s="90">
        <f t="shared" si="13"/>
        <v>27272823.4432</v>
      </c>
      <c r="N101" s="90">
        <f t="shared" si="13"/>
        <v>14596921.42</v>
      </c>
      <c r="O101" s="90">
        <f>O$13</f>
        <v>12405370.631199999</v>
      </c>
      <c r="P101" s="91"/>
    </row>
    <row r="102" spans="1:16" x14ac:dyDescent="0.25">
      <c r="A102" s="97" t="s">
        <v>66</v>
      </c>
      <c r="B102" s="50">
        <f>B101</f>
        <v>17730370.283199999</v>
      </c>
      <c r="C102" s="51">
        <f t="shared" ref="C102:O102" si="14">$B$96*C101+(1-$B$96)*(B102-B103)</f>
        <v>17512977.521427769</v>
      </c>
      <c r="D102" s="51">
        <f t="shared" si="14"/>
        <v>17942112.158151995</v>
      </c>
      <c r="E102" s="51">
        <f t="shared" si="14"/>
        <v>17182370.526930206</v>
      </c>
      <c r="F102" s="51">
        <f t="shared" si="14"/>
        <v>17206728.173450917</v>
      </c>
      <c r="G102" s="51">
        <f t="shared" si="14"/>
        <v>17191705.191821136</v>
      </c>
      <c r="H102" s="51">
        <f t="shared" si="14"/>
        <v>17724021.541395232</v>
      </c>
      <c r="I102" s="51">
        <f t="shared" si="14"/>
        <v>17837251.677598499</v>
      </c>
      <c r="J102" s="51">
        <f t="shared" si="14"/>
        <v>18055079.642056853</v>
      </c>
      <c r="K102" s="51">
        <f t="shared" si="14"/>
        <v>18037502.509323683</v>
      </c>
      <c r="L102" s="51">
        <f t="shared" si="14"/>
        <v>17789870.185266249</v>
      </c>
      <c r="M102" s="51">
        <f t="shared" si="14"/>
        <v>19807144.40549209</v>
      </c>
      <c r="N102" s="51">
        <f t="shared" si="14"/>
        <v>17178047.818962976</v>
      </c>
      <c r="O102" s="51">
        <f t="shared" si="14"/>
        <v>18388840.800156519</v>
      </c>
      <c r="P102" s="28"/>
    </row>
    <row r="103" spans="1:16" x14ac:dyDescent="0.25">
      <c r="A103" s="97" t="s">
        <v>67</v>
      </c>
      <c r="B103" s="94">
        <v>0</v>
      </c>
      <c r="C103" s="89">
        <f t="shared" ref="C103:O103" si="15">$B$97*(C102-B102)+(1-$B$97)*B103</f>
        <v>-217392.76177223027</v>
      </c>
      <c r="D103" s="89">
        <f t="shared" si="15"/>
        <v>429134.63672422618</v>
      </c>
      <c r="E103" s="89">
        <f t="shared" si="15"/>
        <v>-759741.63122178987</v>
      </c>
      <c r="F103" s="89">
        <f t="shared" si="15"/>
        <v>24357.646520711482</v>
      </c>
      <c r="G103" s="89">
        <f t="shared" si="15"/>
        <v>-15022.981629781425</v>
      </c>
      <c r="H103" s="89">
        <f t="shared" si="15"/>
        <v>532316.3495740965</v>
      </c>
      <c r="I103" s="89">
        <f t="shared" si="15"/>
        <v>113230.13620326668</v>
      </c>
      <c r="J103" s="89">
        <f t="shared" si="15"/>
        <v>217827.96445835382</v>
      </c>
      <c r="K103" s="89">
        <f t="shared" si="15"/>
        <v>-17577.132733169943</v>
      </c>
      <c r="L103" s="89">
        <f t="shared" si="15"/>
        <v>-247632.32405743375</v>
      </c>
      <c r="M103" s="89">
        <f t="shared" si="15"/>
        <v>2017274.2202258408</v>
      </c>
      <c r="N103" s="89">
        <f t="shared" si="15"/>
        <v>-2629096.5865291134</v>
      </c>
      <c r="O103" s="89">
        <f t="shared" si="15"/>
        <v>1210792.9811935425</v>
      </c>
      <c r="P103" s="28"/>
    </row>
    <row r="104" spans="1:16" ht="15.75" thickBot="1" x14ac:dyDescent="0.3">
      <c r="A104" s="98" t="s">
        <v>71</v>
      </c>
      <c r="B104" s="95"/>
      <c r="C104" s="92">
        <f>SUM(B102:B103)</f>
        <v>17730370.283199999</v>
      </c>
      <c r="D104" s="92">
        <f t="shared" ref="D104:N104" si="16">SUM(C102:C103)</f>
        <v>17295584.759655539</v>
      </c>
      <c r="E104" s="92">
        <f t="shared" si="16"/>
        <v>18371246.794876222</v>
      </c>
      <c r="F104" s="92">
        <f t="shared" si="16"/>
        <v>16422628.895708416</v>
      </c>
      <c r="G104" s="92">
        <f>SUM(F102:F103)</f>
        <v>17231085.819971628</v>
      </c>
      <c r="H104" s="92">
        <f t="shared" si="16"/>
        <v>17176682.210191354</v>
      </c>
      <c r="I104" s="92">
        <f t="shared" si="16"/>
        <v>18256337.890969329</v>
      </c>
      <c r="J104" s="92">
        <f t="shared" si="16"/>
        <v>17950481.813801765</v>
      </c>
      <c r="K104" s="92">
        <f t="shared" si="16"/>
        <v>18272907.606515206</v>
      </c>
      <c r="L104" s="92">
        <f t="shared" si="16"/>
        <v>18019925.376590513</v>
      </c>
      <c r="M104" s="92">
        <f t="shared" si="16"/>
        <v>17542237.861208815</v>
      </c>
      <c r="N104" s="92">
        <f t="shared" si="16"/>
        <v>21824418.62571793</v>
      </c>
      <c r="O104" s="92">
        <f>SUM(N102:N103)</f>
        <v>14548951.232433863</v>
      </c>
      <c r="P104" s="135">
        <f>SUM(O102:O103)</f>
        <v>19599633.781350061</v>
      </c>
    </row>
    <row r="120" spans="1:16" x14ac:dyDescent="0.25">
      <c r="A120" s="84" t="s">
        <v>73</v>
      </c>
    </row>
    <row r="121" spans="1:16" ht="15.75" thickBot="1" x14ac:dyDescent="0.3">
      <c r="A121" s="27" t="s">
        <v>88</v>
      </c>
    </row>
    <row r="122" spans="1:16" x14ac:dyDescent="0.25">
      <c r="A122" s="30" t="s">
        <v>74</v>
      </c>
      <c r="B122" s="31" t="s">
        <v>75</v>
      </c>
      <c r="C122" s="31" t="s">
        <v>76</v>
      </c>
      <c r="D122" s="103" t="s">
        <v>77</v>
      </c>
    </row>
    <row r="123" spans="1:16" ht="15.75" thickBot="1" x14ac:dyDescent="0.3">
      <c r="A123" s="104">
        <v>0.66089630144934353</v>
      </c>
      <c r="B123" s="105">
        <v>0</v>
      </c>
      <c r="C123" s="105">
        <v>0.33910369703828069</v>
      </c>
      <c r="D123" s="106">
        <f>SUM(A123:C123)</f>
        <v>0.99999999848762422</v>
      </c>
    </row>
    <row r="124" spans="1:16" x14ac:dyDescent="0.25">
      <c r="A124" s="107" t="s">
        <v>44</v>
      </c>
      <c r="B124" s="108">
        <v>43466</v>
      </c>
      <c r="C124" s="109">
        <v>43497</v>
      </c>
      <c r="D124" s="109">
        <v>43525</v>
      </c>
      <c r="E124" s="109">
        <v>43556</v>
      </c>
      <c r="F124" s="109">
        <v>43586</v>
      </c>
      <c r="G124" s="109">
        <v>43617</v>
      </c>
      <c r="H124" s="109">
        <v>43647</v>
      </c>
      <c r="I124" s="109">
        <v>43678</v>
      </c>
      <c r="J124" s="109">
        <v>43709</v>
      </c>
      <c r="K124" s="109">
        <v>43739</v>
      </c>
      <c r="L124" s="109">
        <v>43770</v>
      </c>
      <c r="M124" s="109">
        <v>43800</v>
      </c>
      <c r="N124" s="109">
        <v>43831</v>
      </c>
      <c r="O124" s="110">
        <v>43862</v>
      </c>
      <c r="P124" s="111">
        <v>43891</v>
      </c>
    </row>
    <row r="125" spans="1:16" x14ac:dyDescent="0.25">
      <c r="A125" s="97" t="s">
        <v>78</v>
      </c>
      <c r="B125" s="50"/>
      <c r="C125" s="51"/>
      <c r="D125" s="51"/>
      <c r="E125" s="51">
        <f>B101*$A$123+C101*$B$123+D101*$C$123</f>
        <v>18105089.398809183</v>
      </c>
      <c r="F125" s="51">
        <f t="shared" ref="F125:P125" si="17">C101*$A$123+D101*$B$123+E101*$C$123</f>
        <v>16321777.82719343</v>
      </c>
      <c r="G125" s="51">
        <f t="shared" si="17"/>
        <v>17231074.28651274</v>
      </c>
      <c r="H125" s="51">
        <f t="shared" si="17"/>
        <v>16277105.789682772</v>
      </c>
      <c r="I125" s="51">
        <f t="shared" si="17"/>
        <v>16071815.014802707</v>
      </c>
      <c r="J125" s="51">
        <f t="shared" si="17"/>
        <v>18360153.910989795</v>
      </c>
      <c r="K125" s="51">
        <f t="shared" si="17"/>
        <v>19752189.516235128</v>
      </c>
      <c r="L125" s="51">
        <f t="shared" si="17"/>
        <v>19991520.153156579</v>
      </c>
      <c r="M125" s="51">
        <f t="shared" si="17"/>
        <v>18508781.009890836</v>
      </c>
      <c r="N125" s="51">
        <f t="shared" si="17"/>
        <v>21727564.737581939</v>
      </c>
      <c r="O125" s="51">
        <f t="shared" si="17"/>
        <v>15967683.7906886</v>
      </c>
      <c r="P125" s="52">
        <f t="shared" si="17"/>
        <v>22231215.18786186</v>
      </c>
    </row>
    <row r="126" spans="1:16" ht="15.75" thickBot="1" x14ac:dyDescent="0.3">
      <c r="A126" s="98" t="s">
        <v>79</v>
      </c>
      <c r="B126" s="112"/>
      <c r="C126" s="113">
        <f>B101</f>
        <v>17730370.283199999</v>
      </c>
      <c r="D126" s="113">
        <f t="shared" ref="D126:O126" si="18">C101</f>
        <v>16595851.5266</v>
      </c>
      <c r="E126" s="113">
        <f t="shared" si="18"/>
        <v>18835398.466899998</v>
      </c>
      <c r="F126" s="113">
        <f t="shared" si="18"/>
        <v>15787621.841399999</v>
      </c>
      <c r="G126" s="113">
        <f t="shared" si="18"/>
        <v>14104326.037100002</v>
      </c>
      <c r="H126" s="113">
        <f t="shared" si="18"/>
        <v>17231085.821399998</v>
      </c>
      <c r="I126" s="113">
        <f t="shared" si="18"/>
        <v>19906353.606299996</v>
      </c>
      <c r="J126" s="113">
        <f t="shared" si="18"/>
        <v>20560651.749200001</v>
      </c>
      <c r="K126" s="113">
        <f t="shared" si="18"/>
        <v>19451731.432299994</v>
      </c>
      <c r="L126" s="113">
        <f t="shared" si="18"/>
        <v>18882310.964600001</v>
      </c>
      <c r="M126" s="113">
        <f t="shared" si="18"/>
        <v>16671017.4465</v>
      </c>
      <c r="N126" s="113">
        <f t="shared" si="18"/>
        <v>27272823.4432</v>
      </c>
      <c r="O126" s="113">
        <f t="shared" si="18"/>
        <v>14596921.42</v>
      </c>
      <c r="P126" s="114">
        <f t="shared" ref="P126" si="19">O101</f>
        <v>12405370.631199999</v>
      </c>
    </row>
    <row r="128" spans="1:16" ht="15.75" thickBot="1" x14ac:dyDescent="0.3">
      <c r="A128" s="27" t="s">
        <v>70</v>
      </c>
    </row>
    <row r="129" spans="1:6" x14ac:dyDescent="0.25">
      <c r="A129" s="65" t="s">
        <v>80</v>
      </c>
      <c r="B129" s="115">
        <f>E96</f>
        <v>0.14941649710176816</v>
      </c>
      <c r="E129" s="81"/>
      <c r="F129" s="24"/>
    </row>
    <row r="130" spans="1:6" x14ac:dyDescent="0.25">
      <c r="A130" s="66" t="s">
        <v>78</v>
      </c>
      <c r="B130" s="44">
        <f t="array" ref="B130">AVERAGE(ABS((E125:O125-E101:O101)/E101:O101))</f>
        <v>0.19118359656137016</v>
      </c>
    </row>
    <row r="131" spans="1:6" ht="15.75" thickBot="1" x14ac:dyDescent="0.3">
      <c r="A131" s="73" t="s">
        <v>79</v>
      </c>
      <c r="B131" s="45">
        <f t="array" ref="B131">AVERAGE(ABS((C126:O126-C101:O101)/C101:O101))</f>
        <v>0.19237920338726225</v>
      </c>
    </row>
    <row r="133" spans="1:6" x14ac:dyDescent="0.25">
      <c r="A133" s="84" t="s">
        <v>81</v>
      </c>
    </row>
    <row r="135" spans="1:6" ht="15.75" thickBot="1" x14ac:dyDescent="0.3">
      <c r="A135" s="27" t="s">
        <v>82</v>
      </c>
    </row>
    <row r="136" spans="1:6" x14ac:dyDescent="0.25">
      <c r="A136" s="30" t="s">
        <v>74</v>
      </c>
      <c r="B136" s="31" t="s">
        <v>75</v>
      </c>
      <c r="C136" s="31" t="s">
        <v>76</v>
      </c>
      <c r="D136" s="103" t="s">
        <v>77</v>
      </c>
    </row>
    <row r="137" spans="1:6" ht="15.75" thickBot="1" x14ac:dyDescent="0.3">
      <c r="A137" s="29">
        <v>0.25</v>
      </c>
      <c r="B137" s="33">
        <v>0.35</v>
      </c>
      <c r="C137" s="33">
        <v>0.4</v>
      </c>
      <c r="D137" s="45">
        <f>SUM(A137:C137)</f>
        <v>1</v>
      </c>
    </row>
    <row r="139" spans="1:6" ht="15.75" thickBot="1" x14ac:dyDescent="0.3">
      <c r="A139" s="27" t="s">
        <v>85</v>
      </c>
    </row>
    <row r="140" spans="1:6" ht="15.75" thickBot="1" x14ac:dyDescent="0.3">
      <c r="A140" s="122" t="s">
        <v>51</v>
      </c>
      <c r="B140" s="118">
        <v>43800</v>
      </c>
      <c r="C140" s="117">
        <v>43831</v>
      </c>
      <c r="D140" s="125">
        <v>43862</v>
      </c>
      <c r="E140" s="122" t="s">
        <v>83</v>
      </c>
      <c r="F140" s="124">
        <v>43891</v>
      </c>
    </row>
    <row r="141" spans="1:6" x14ac:dyDescent="0.25">
      <c r="A141" s="123" t="s">
        <v>17</v>
      </c>
      <c r="B141" s="119">
        <f t="shared" ref="B141:B151" si="20">M3</f>
        <v>2444122.3783</v>
      </c>
      <c r="C141" s="116">
        <f t="shared" ref="C141:C151" si="21">N3</f>
        <v>1475510.4701999999</v>
      </c>
      <c r="D141" s="126">
        <f t="shared" ref="D141:D151" si="22">O3</f>
        <v>1262658.8804000001</v>
      </c>
      <c r="E141" s="129">
        <f t="shared" ref="E141:E150" si="23">B141/B$151*A$137 + C141/C$151*B$137 + D141/D$151*C$137</f>
        <v>9.8496960674525319E-2</v>
      </c>
      <c r="F141" s="132">
        <f>E141*$P$104</f>
        <v>1930504.3577967349</v>
      </c>
    </row>
    <row r="142" spans="1:6" x14ac:dyDescent="0.25">
      <c r="A142" s="97" t="s">
        <v>18</v>
      </c>
      <c r="B142" s="120">
        <f t="shared" si="20"/>
        <v>2068502.9233000001</v>
      </c>
      <c r="C142" s="64">
        <f t="shared" si="21"/>
        <v>1334757.3533999999</v>
      </c>
      <c r="D142" s="127">
        <f t="shared" si="22"/>
        <v>1141669.1313</v>
      </c>
      <c r="E142" s="130">
        <f t="shared" si="23"/>
        <v>8.7777658821719395E-2</v>
      </c>
      <c r="F142" s="133">
        <f t="shared" ref="F142:F150" si="24">E142*$P$104</f>
        <v>1720409.9670899918</v>
      </c>
    </row>
    <row r="143" spans="1:6" x14ac:dyDescent="0.25">
      <c r="A143" s="97" t="s">
        <v>19</v>
      </c>
      <c r="B143" s="120">
        <f t="shared" si="20"/>
        <v>2188432.3800999997</v>
      </c>
      <c r="C143" s="64">
        <f t="shared" si="21"/>
        <v>1038844.4796</v>
      </c>
      <c r="D143" s="127">
        <f t="shared" si="22"/>
        <v>967115.24090000009</v>
      </c>
      <c r="E143" s="130">
        <f t="shared" si="23"/>
        <v>7.6153377463498928E-2</v>
      </c>
      <c r="F143" s="133">
        <f t="shared" si="24"/>
        <v>1492578.3094974961</v>
      </c>
    </row>
    <row r="144" spans="1:6" x14ac:dyDescent="0.25">
      <c r="A144" s="97" t="s">
        <v>20</v>
      </c>
      <c r="B144" s="120">
        <f t="shared" si="20"/>
        <v>4352622.6902000001</v>
      </c>
      <c r="C144" s="64">
        <f t="shared" si="21"/>
        <v>2251199.2409999999</v>
      </c>
      <c r="D144" s="127">
        <f t="shared" si="22"/>
        <v>2561652.6517000003</v>
      </c>
      <c r="E144" s="130">
        <f t="shared" si="23"/>
        <v>0.17647556967852662</v>
      </c>
      <c r="F144" s="133">
        <f t="shared" si="24"/>
        <v>3458856.5370542468</v>
      </c>
    </row>
    <row r="145" spans="1:6" x14ac:dyDescent="0.25">
      <c r="A145" s="97" t="s">
        <v>21</v>
      </c>
      <c r="B145" s="120">
        <f t="shared" si="20"/>
        <v>2514612.2550000004</v>
      </c>
      <c r="C145" s="64">
        <f t="shared" si="21"/>
        <v>1367980.1218999999</v>
      </c>
      <c r="D145" s="127">
        <f t="shared" si="22"/>
        <v>1512139.0555999998</v>
      </c>
      <c r="E145" s="130">
        <f t="shared" si="23"/>
        <v>0.10460905309932787</v>
      </c>
      <c r="F145" s="133">
        <f t="shared" si="24"/>
        <v>2050299.1309606289</v>
      </c>
    </row>
    <row r="146" spans="1:6" x14ac:dyDescent="0.25">
      <c r="A146" s="97" t="s">
        <v>22</v>
      </c>
      <c r="B146" s="120">
        <f t="shared" si="20"/>
        <v>5220497.3695</v>
      </c>
      <c r="C146" s="64">
        <f t="shared" si="21"/>
        <v>2121539.8054</v>
      </c>
      <c r="D146" s="127">
        <f t="shared" si="22"/>
        <v>1717156.8119999999</v>
      </c>
      <c r="E146" s="130">
        <f t="shared" si="23"/>
        <v>0.15409212227942812</v>
      </c>
      <c r="F146" s="133">
        <f t="shared" si="24"/>
        <v>3020149.1652678037</v>
      </c>
    </row>
    <row r="147" spans="1:6" x14ac:dyDescent="0.25">
      <c r="A147" s="97" t="s">
        <v>23</v>
      </c>
      <c r="B147" s="120">
        <f t="shared" si="20"/>
        <v>3584954.1248000003</v>
      </c>
      <c r="C147" s="64">
        <f t="shared" si="21"/>
        <v>2133345.3788000001</v>
      </c>
      <c r="D147" s="127">
        <f t="shared" si="22"/>
        <v>1418613.1000999999</v>
      </c>
      <c r="E147" s="130">
        <f t="shared" si="23"/>
        <v>0.12975649238116679</v>
      </c>
      <c r="F147" s="133">
        <f t="shared" si="24"/>
        <v>2543179.7314234087</v>
      </c>
    </row>
    <row r="148" spans="1:6" x14ac:dyDescent="0.25">
      <c r="A148" s="97" t="s">
        <v>24</v>
      </c>
      <c r="B148" s="120">
        <f t="shared" si="20"/>
        <v>2180447.7897999999</v>
      </c>
      <c r="C148" s="64">
        <f t="shared" si="21"/>
        <v>882188.60840000003</v>
      </c>
      <c r="D148" s="127">
        <f t="shared" si="22"/>
        <v>685875.64289999998</v>
      </c>
      <c r="E148" s="130">
        <f t="shared" si="23"/>
        <v>6.3255627160912528E-2</v>
      </c>
      <c r="F148" s="133">
        <f t="shared" si="24"/>
        <v>1239787.1269635058</v>
      </c>
    </row>
    <row r="149" spans="1:6" x14ac:dyDescent="0.25">
      <c r="A149" s="97" t="s">
        <v>25</v>
      </c>
      <c r="B149" s="120">
        <f t="shared" si="20"/>
        <v>1163225.5533</v>
      </c>
      <c r="C149" s="64">
        <f t="shared" si="21"/>
        <v>626432.12479999999</v>
      </c>
      <c r="D149" s="127">
        <f t="shared" si="22"/>
        <v>496468.93450000003</v>
      </c>
      <c r="E149" s="130">
        <f t="shared" si="23"/>
        <v>4.1691432521567179E-2</v>
      </c>
      <c r="F149" s="133">
        <f t="shared" si="24"/>
        <v>817136.80924258463</v>
      </c>
    </row>
    <row r="150" spans="1:6" x14ac:dyDescent="0.25">
      <c r="A150" s="97" t="s">
        <v>26</v>
      </c>
      <c r="B150" s="120">
        <f t="shared" si="20"/>
        <v>1555405.9789</v>
      </c>
      <c r="C150" s="64">
        <f t="shared" si="21"/>
        <v>1365123.8365</v>
      </c>
      <c r="D150" s="127">
        <f t="shared" si="22"/>
        <v>642021.18180000002</v>
      </c>
      <c r="E150" s="130">
        <f t="shared" si="23"/>
        <v>6.7691705919327314E-2</v>
      </c>
      <c r="F150" s="133">
        <f t="shared" si="24"/>
        <v>1326732.6460536616</v>
      </c>
    </row>
    <row r="151" spans="1:6" ht="15.75" thickBot="1" x14ac:dyDescent="0.3">
      <c r="A151" s="98" t="s">
        <v>53</v>
      </c>
      <c r="B151" s="121">
        <f t="shared" si="20"/>
        <v>27272823.4432</v>
      </c>
      <c r="C151" s="92">
        <f t="shared" si="21"/>
        <v>14596921.42</v>
      </c>
      <c r="D151" s="128">
        <f t="shared" si="22"/>
        <v>12405370.631199999</v>
      </c>
      <c r="E151" s="131">
        <f>SUM(E141:E150)</f>
        <v>1</v>
      </c>
      <c r="F151" s="134">
        <f>E151*$P$104</f>
        <v>19599633.781350061</v>
      </c>
    </row>
    <row r="153" spans="1:6" x14ac:dyDescent="0.25">
      <c r="A153" s="84" t="s">
        <v>84</v>
      </c>
    </row>
    <row r="155" spans="1:6" ht="15.75" thickBot="1" x14ac:dyDescent="0.3">
      <c r="A155" s="27" t="s">
        <v>16</v>
      </c>
    </row>
    <row r="156" spans="1:6" ht="15.75" thickBot="1" x14ac:dyDescent="0.3">
      <c r="A156" s="122" t="s">
        <v>51</v>
      </c>
      <c r="B156" s="118">
        <v>43800</v>
      </c>
      <c r="C156" s="117">
        <v>43831</v>
      </c>
      <c r="D156" s="125">
        <v>43862</v>
      </c>
      <c r="E156" s="122" t="s">
        <v>54</v>
      </c>
      <c r="F156" s="124">
        <v>43891</v>
      </c>
    </row>
    <row r="157" spans="1:6" x14ac:dyDescent="0.25">
      <c r="A157" s="123" t="s">
        <v>17</v>
      </c>
      <c r="B157" s="47">
        <f>AB3</f>
        <v>335138.03450000001</v>
      </c>
      <c r="C157" s="48">
        <f t="shared" ref="C157:D157" si="25">AC3</f>
        <v>54989.122699999978</v>
      </c>
      <c r="D157" s="59">
        <f t="shared" si="25"/>
        <v>79941.842499999984</v>
      </c>
      <c r="E157" s="129">
        <f>B157/B141*A$137 + C157/C141*B$137 + D157/D141*C$137</f>
        <v>7.2648671019746647E-2</v>
      </c>
      <c r="F157" s="132">
        <f>E157*F141</f>
        <v>140248.57599176228</v>
      </c>
    </row>
    <row r="158" spans="1:6" x14ac:dyDescent="0.25">
      <c r="A158" s="97" t="s">
        <v>18</v>
      </c>
      <c r="B158" s="50">
        <f t="shared" ref="B158:D158" si="26">AB4</f>
        <v>-90281.696300000011</v>
      </c>
      <c r="C158" s="51">
        <f t="shared" si="26"/>
        <v>-330103.53240000003</v>
      </c>
      <c r="D158" s="60">
        <f t="shared" si="26"/>
        <v>-331758.02260000003</v>
      </c>
      <c r="E158" s="130">
        <f t="shared" ref="E158:E167" si="27">B158/B142*A$137 + C158/C142*B$137 + D158/D142*C$137</f>
        <v>-0.21370734467816888</v>
      </c>
      <c r="F158" s="133">
        <f t="shared" ref="F158:F166" si="28">E158*F142</f>
        <v>-367664.24582465802</v>
      </c>
    </row>
    <row r="159" spans="1:6" x14ac:dyDescent="0.25">
      <c r="A159" s="97" t="s">
        <v>19</v>
      </c>
      <c r="B159" s="50">
        <f t="shared" ref="B159:D159" si="29">AB5</f>
        <v>-90321.7307</v>
      </c>
      <c r="C159" s="51">
        <f t="shared" si="29"/>
        <v>-104295.9675</v>
      </c>
      <c r="D159" s="60">
        <f t="shared" si="29"/>
        <v>-235099.37390000001</v>
      </c>
      <c r="E159" s="130">
        <f t="shared" si="27"/>
        <v>-0.14269410910877106</v>
      </c>
      <c r="F159" s="133">
        <f t="shared" si="28"/>
        <v>-212982.13214882076</v>
      </c>
    </row>
    <row r="160" spans="1:6" x14ac:dyDescent="0.25">
      <c r="A160" s="97" t="s">
        <v>20</v>
      </c>
      <c r="B160" s="50">
        <f t="shared" ref="B160:D160" si="30">AB6</f>
        <v>-15251.785499999998</v>
      </c>
      <c r="C160" s="51">
        <f t="shared" si="30"/>
        <v>-81305.930800000002</v>
      </c>
      <c r="D160" s="60">
        <f t="shared" si="30"/>
        <v>-153390.92389999997</v>
      </c>
      <c r="E160" s="130">
        <f t="shared" si="27"/>
        <v>-3.7468732267659823E-2</v>
      </c>
      <c r="F160" s="133">
        <f t="shared" si="28"/>
        <v>-129598.96953913057</v>
      </c>
    </row>
    <row r="161" spans="1:8" x14ac:dyDescent="0.25">
      <c r="A161" s="97" t="s">
        <v>21</v>
      </c>
      <c r="B161" s="50">
        <f t="shared" ref="B161:D161" si="31">AB7</f>
        <v>157278.80009999999</v>
      </c>
      <c r="C161" s="51">
        <f t="shared" si="31"/>
        <v>-76013.514999999999</v>
      </c>
      <c r="D161" s="60">
        <f t="shared" si="31"/>
        <v>-27111.829099999988</v>
      </c>
      <c r="E161" s="130">
        <f t="shared" si="27"/>
        <v>-1.0983480533135262E-2</v>
      </c>
      <c r="F161" s="133">
        <f t="shared" si="28"/>
        <v>-22519.42059201021</v>
      </c>
    </row>
    <row r="162" spans="1:8" x14ac:dyDescent="0.25">
      <c r="A162" s="97" t="s">
        <v>22</v>
      </c>
      <c r="B162" s="50">
        <f t="shared" ref="B162:D162" si="32">AB8</f>
        <v>806961.63089999999</v>
      </c>
      <c r="C162" s="51">
        <f t="shared" si="32"/>
        <v>-60987.986399999994</v>
      </c>
      <c r="D162" s="60">
        <f t="shared" si="32"/>
        <v>19811.164999999979</v>
      </c>
      <c r="E162" s="130">
        <f t="shared" si="27"/>
        <v>3.3197318312514573E-2</v>
      </c>
      <c r="F162" s="133">
        <f t="shared" si="28"/>
        <v>100260.85319067046</v>
      </c>
    </row>
    <row r="163" spans="1:8" x14ac:dyDescent="0.25">
      <c r="A163" s="97" t="s">
        <v>23</v>
      </c>
      <c r="B163" s="50">
        <f t="shared" ref="B163:D163" si="33">AB9</f>
        <v>-74636.54720000003</v>
      </c>
      <c r="C163" s="51">
        <f t="shared" si="33"/>
        <v>-218517.43090000001</v>
      </c>
      <c r="D163" s="60">
        <f t="shared" si="33"/>
        <v>-498674.22989999992</v>
      </c>
      <c r="E163" s="130">
        <f t="shared" si="27"/>
        <v>-0.18166410574502179</v>
      </c>
      <c r="F163" s="133">
        <f t="shared" si="28"/>
        <v>-462004.47165789822</v>
      </c>
    </row>
    <row r="164" spans="1:8" x14ac:dyDescent="0.25">
      <c r="A164" s="97" t="s">
        <v>24</v>
      </c>
      <c r="B164" s="50">
        <f t="shared" ref="B164:D164" si="34">AB10</f>
        <v>168791.48819999999</v>
      </c>
      <c r="C164" s="51">
        <f t="shared" si="34"/>
        <v>-157244.58089999997</v>
      </c>
      <c r="D164" s="60">
        <f t="shared" si="34"/>
        <v>-147296.0442</v>
      </c>
      <c r="E164" s="130">
        <f t="shared" si="27"/>
        <v>-0.12893493434278208</v>
      </c>
      <c r="F164" s="133">
        <f t="shared" si="28"/>
        <v>-159851.87181406605</v>
      </c>
    </row>
    <row r="165" spans="1:8" x14ac:dyDescent="0.25">
      <c r="A165" s="97" t="s">
        <v>25</v>
      </c>
      <c r="B165" s="50">
        <f t="shared" ref="B165:D165" si="35">AB11</f>
        <v>61454.839800000002</v>
      </c>
      <c r="C165" s="51">
        <f t="shared" si="35"/>
        <v>-160488.12079999998</v>
      </c>
      <c r="D165" s="60">
        <f t="shared" si="35"/>
        <v>-291849.02600000001</v>
      </c>
      <c r="E165" s="130">
        <f t="shared" si="27"/>
        <v>-0.31159984048450229</v>
      </c>
      <c r="F165" s="133">
        <f t="shared" si="28"/>
        <v>-254619.69941400454</v>
      </c>
    </row>
    <row r="166" spans="1:8" x14ac:dyDescent="0.25">
      <c r="A166" s="97" t="s">
        <v>26</v>
      </c>
      <c r="B166" s="50">
        <f t="shared" ref="B166:D166" si="36">AB12</f>
        <v>27373.25970000001</v>
      </c>
      <c r="C166" s="51">
        <f t="shared" si="36"/>
        <v>-160760.4417</v>
      </c>
      <c r="D166" s="60">
        <f t="shared" si="36"/>
        <v>-460442.87169999996</v>
      </c>
      <c r="E166" s="130">
        <f t="shared" si="27"/>
        <v>-0.32368801886320964</v>
      </c>
      <c r="F166" s="133">
        <f t="shared" si="28"/>
        <v>-429447.46176225366</v>
      </c>
    </row>
    <row r="167" spans="1:8" ht="15.75" thickBot="1" x14ac:dyDescent="0.3">
      <c r="A167" s="98" t="s">
        <v>53</v>
      </c>
      <c r="B167" s="112">
        <f t="shared" ref="B167:D167" si="37">AB13</f>
        <v>1286506.2934999999</v>
      </c>
      <c r="C167" s="113">
        <f t="shared" si="37"/>
        <v>-1294728.3837000001</v>
      </c>
      <c r="D167" s="136">
        <f t="shared" si="37"/>
        <v>-2045869.3138000001</v>
      </c>
      <c r="E167" s="131">
        <f t="shared" si="27"/>
        <v>-8.5218835431055587E-2</v>
      </c>
      <c r="F167" s="134">
        <f>SUM(F157:F166)</f>
        <v>-1798178.8435704093</v>
      </c>
      <c r="H167" s="82"/>
    </row>
  </sheetData>
  <mergeCells count="7">
    <mergeCell ref="B1:O1"/>
    <mergeCell ref="Q1:AD1"/>
    <mergeCell ref="A14:O16"/>
    <mergeCell ref="P41:P42"/>
    <mergeCell ref="Q41:Q42"/>
    <mergeCell ref="G25:H25"/>
    <mergeCell ref="E25:F25"/>
  </mergeCells>
  <phoneticPr fontId="8" type="noConversion"/>
  <dataValidations count="2">
    <dataValidation type="list" allowBlank="1" showInputMessage="1" showErrorMessage="1" sqref="B26:B40" xr:uid="{950B5BFF-CC9B-4AF9-8CAA-C130C6BC17A8}">
      <formula1>$A$3:$A$12</formula1>
    </dataValidation>
    <dataValidation type="list" allowBlank="1" showInputMessage="1" showErrorMessage="1" sqref="B25" xr:uid="{4B02EE08-331A-4B3A-8515-A96CFACA6AD3}">
      <formula1>$A$3:$A$13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Макрос_А</vt:lpstr>
      <vt:lpstr>Макрос_В</vt:lpstr>
      <vt:lpstr>Формула</vt:lpstr>
      <vt:lpstr>Планирование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2020-07-03T11:24:25Z</dcterms:modified>
</cp:coreProperties>
</file>